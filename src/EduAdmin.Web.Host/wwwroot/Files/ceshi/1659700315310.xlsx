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817ED42-8436-43CA-A673-9DC030D22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8软件1班" sheetId="2" r:id="rId1"/>
    <sheet name="18软件2班" sheetId="3" r:id="rId2"/>
    <sheet name="18软件3班" sheetId="4" r:id="rId3"/>
    <sheet name="18软件4班" sheetId="5" r:id="rId4"/>
    <sheet name="18软件5班" sheetId="6" r:id="rId5"/>
    <sheet name="18软件软件项目管理总表" sheetId="13" r:id="rId6"/>
    <sheet name="18软件1班课设" sheetId="7" r:id="rId7"/>
    <sheet name="18软件2班课设" sheetId="8" r:id="rId8"/>
    <sheet name="18软件3班课设" sheetId="9" r:id="rId9"/>
    <sheet name="18软件4班课设" sheetId="10" r:id="rId10"/>
    <sheet name="18软件5班课设" sheetId="11" r:id="rId11"/>
    <sheet name="18级软件1班课设" sheetId="12" r:id="rId12"/>
    <sheet name="18软2平时成绩表" sheetId="14" r:id="rId13"/>
    <sheet name="18软3平时成绩表" sheetId="15" r:id="rId14"/>
    <sheet name="18软4平时成绩表" sheetId="16" r:id="rId15"/>
    <sheet name="18软5平时成绩表" sheetId="17" r:id="rId16"/>
    <sheet name="18软1平时成绩表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3" i="18" l="1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Z150" i="13"/>
  <c r="P150" i="13"/>
  <c r="AA150" i="13" s="1"/>
  <c r="AA149" i="13"/>
  <c r="Z149" i="13"/>
  <c r="AB149" i="13" s="1"/>
  <c r="P149" i="13"/>
  <c r="Z148" i="13"/>
  <c r="P148" i="13"/>
  <c r="AA148" i="13" s="1"/>
  <c r="AB148" i="13" s="1"/>
  <c r="Z147" i="13"/>
  <c r="P147" i="13"/>
  <c r="AA147" i="13" s="1"/>
  <c r="AA146" i="13"/>
  <c r="Z146" i="13"/>
  <c r="AB146" i="13" s="1"/>
  <c r="P146" i="13"/>
  <c r="Z145" i="13"/>
  <c r="P145" i="13"/>
  <c r="AA145" i="13" s="1"/>
  <c r="AB145" i="13" s="1"/>
  <c r="Z144" i="13"/>
  <c r="P144" i="13"/>
  <c r="AA144" i="13" s="1"/>
  <c r="AA143" i="13"/>
  <c r="Z143" i="13"/>
  <c r="AB143" i="13" s="1"/>
  <c r="P143" i="13"/>
  <c r="Z142" i="13"/>
  <c r="P142" i="13"/>
  <c r="AA142" i="13" s="1"/>
  <c r="AB142" i="13" s="1"/>
  <c r="Z141" i="13"/>
  <c r="P141" i="13"/>
  <c r="AA141" i="13" s="1"/>
  <c r="AA140" i="13"/>
  <c r="Z140" i="13"/>
  <c r="AB140" i="13" s="1"/>
  <c r="P140" i="13"/>
  <c r="Z139" i="13"/>
  <c r="P139" i="13"/>
  <c r="AA139" i="13" s="1"/>
  <c r="AB139" i="13" s="1"/>
  <c r="Z138" i="13"/>
  <c r="P138" i="13"/>
  <c r="AA138" i="13" s="1"/>
  <c r="AA137" i="13"/>
  <c r="Z137" i="13"/>
  <c r="AB137" i="13" s="1"/>
  <c r="P137" i="13"/>
  <c r="Z136" i="13"/>
  <c r="P136" i="13"/>
  <c r="AA136" i="13" s="1"/>
  <c r="AB136" i="13" s="1"/>
  <c r="Z135" i="13"/>
  <c r="P135" i="13"/>
  <c r="AA135" i="13" s="1"/>
  <c r="AA134" i="13"/>
  <c r="Z134" i="13"/>
  <c r="P134" i="13"/>
  <c r="Z133" i="13"/>
  <c r="P133" i="13"/>
  <c r="AA133" i="13" s="1"/>
  <c r="AB133" i="13" s="1"/>
  <c r="Z132" i="13"/>
  <c r="P132" i="13"/>
  <c r="AA132" i="13" s="1"/>
  <c r="AA131" i="13"/>
  <c r="Z131" i="13"/>
  <c r="P131" i="13"/>
  <c r="Z130" i="13"/>
  <c r="P130" i="13"/>
  <c r="AA130" i="13" s="1"/>
  <c r="AB130" i="13" s="1"/>
  <c r="Z129" i="13"/>
  <c r="P129" i="13"/>
  <c r="AA129" i="13" s="1"/>
  <c r="AA128" i="13"/>
  <c r="Z128" i="13"/>
  <c r="P128" i="13"/>
  <c r="Z127" i="13"/>
  <c r="P127" i="13"/>
  <c r="AA127" i="13" s="1"/>
  <c r="AB127" i="13" s="1"/>
  <c r="Z126" i="13"/>
  <c r="AB126" i="13" s="1"/>
  <c r="P126" i="13"/>
  <c r="AA126" i="13" s="1"/>
  <c r="AA125" i="13"/>
  <c r="Z125" i="13"/>
  <c r="P125" i="13"/>
  <c r="Z124" i="13"/>
  <c r="P124" i="13"/>
  <c r="AA124" i="13" s="1"/>
  <c r="AB124" i="13" s="1"/>
  <c r="Z123" i="13"/>
  <c r="P123" i="13"/>
  <c r="AA123" i="13" s="1"/>
  <c r="AA122" i="13"/>
  <c r="Z122" i="13"/>
  <c r="AB122" i="13" s="1"/>
  <c r="P122" i="13"/>
  <c r="Z121" i="13"/>
  <c r="P121" i="13"/>
  <c r="AA121" i="13" s="1"/>
  <c r="AB121" i="13" s="1"/>
  <c r="Z120" i="13"/>
  <c r="AB120" i="13" s="1"/>
  <c r="P120" i="13"/>
  <c r="AA120" i="13" s="1"/>
  <c r="AA119" i="13"/>
  <c r="Z119" i="13"/>
  <c r="P119" i="13"/>
  <c r="Z118" i="13"/>
  <c r="P118" i="13"/>
  <c r="AA118" i="13" s="1"/>
  <c r="AB118" i="13" s="1"/>
  <c r="Z117" i="13"/>
  <c r="P117" i="13"/>
  <c r="AA117" i="13" s="1"/>
  <c r="AA116" i="13"/>
  <c r="Z116" i="13"/>
  <c r="AB116" i="13" s="1"/>
  <c r="P116" i="13"/>
  <c r="Z115" i="13"/>
  <c r="P115" i="13"/>
  <c r="AA115" i="13" s="1"/>
  <c r="AB115" i="13" s="1"/>
  <c r="Z114" i="13"/>
  <c r="AB114" i="13" s="1"/>
  <c r="P114" i="13"/>
  <c r="AA114" i="13" s="1"/>
  <c r="AA113" i="13"/>
  <c r="Z113" i="13"/>
  <c r="P113" i="13"/>
  <c r="Z112" i="13"/>
  <c r="P112" i="13"/>
  <c r="AA112" i="13" s="1"/>
  <c r="AB112" i="13" s="1"/>
  <c r="Z111" i="13"/>
  <c r="P111" i="13"/>
  <c r="AA111" i="13" s="1"/>
  <c r="AA110" i="13"/>
  <c r="Z110" i="13"/>
  <c r="AB110" i="13" s="1"/>
  <c r="P110" i="13"/>
  <c r="Z109" i="13"/>
  <c r="P109" i="13"/>
  <c r="AA109" i="13" s="1"/>
  <c r="AB109" i="13" s="1"/>
  <c r="Z108" i="13"/>
  <c r="P108" i="13"/>
  <c r="AA108" i="13" s="1"/>
  <c r="AA107" i="13"/>
  <c r="Z107" i="13"/>
  <c r="AB107" i="13" s="1"/>
  <c r="P107" i="13"/>
  <c r="Z106" i="13"/>
  <c r="P106" i="13"/>
  <c r="AA106" i="13" s="1"/>
  <c r="AB106" i="13" s="1"/>
  <c r="Z105" i="13"/>
  <c r="P105" i="13"/>
  <c r="AA105" i="13" s="1"/>
  <c r="AA104" i="13"/>
  <c r="Z104" i="13"/>
  <c r="AB104" i="13" s="1"/>
  <c r="P104" i="13"/>
  <c r="Z103" i="13"/>
  <c r="P103" i="13"/>
  <c r="AA103" i="13" s="1"/>
  <c r="AB103" i="13" s="1"/>
  <c r="Z102" i="13"/>
  <c r="P102" i="13"/>
  <c r="AA102" i="13" s="1"/>
  <c r="AA101" i="13"/>
  <c r="Z101" i="13"/>
  <c r="AB101" i="13" s="1"/>
  <c r="P101" i="13"/>
  <c r="Z100" i="13"/>
  <c r="P100" i="13"/>
  <c r="AA100" i="13" s="1"/>
  <c r="AB100" i="13" s="1"/>
  <c r="Z99" i="13"/>
  <c r="P99" i="13"/>
  <c r="AA99" i="13" s="1"/>
  <c r="AA98" i="13"/>
  <c r="Z98" i="13"/>
  <c r="AB98" i="13" s="1"/>
  <c r="P98" i="13"/>
  <c r="Z97" i="13"/>
  <c r="P97" i="13"/>
  <c r="AA97" i="13" s="1"/>
  <c r="AB97" i="13" s="1"/>
  <c r="Z96" i="13"/>
  <c r="P96" i="13"/>
  <c r="AA96" i="13" s="1"/>
  <c r="AA95" i="13"/>
  <c r="Z95" i="13"/>
  <c r="P95" i="13"/>
  <c r="Z94" i="13"/>
  <c r="P94" i="13"/>
  <c r="AA94" i="13" s="1"/>
  <c r="AB94" i="13" s="1"/>
  <c r="Z93" i="13"/>
  <c r="P93" i="13"/>
  <c r="AA93" i="13" s="1"/>
  <c r="AA92" i="13"/>
  <c r="Z92" i="13"/>
  <c r="AB92" i="13" s="1"/>
  <c r="P92" i="13"/>
  <c r="Z91" i="13"/>
  <c r="P91" i="13"/>
  <c r="AA91" i="13" s="1"/>
  <c r="AB91" i="13" s="1"/>
  <c r="Z90" i="13"/>
  <c r="AB90" i="13" s="1"/>
  <c r="P90" i="13"/>
  <c r="AA90" i="13" s="1"/>
  <c r="AA89" i="13"/>
  <c r="Z89" i="13"/>
  <c r="P89" i="13"/>
  <c r="Z88" i="13"/>
  <c r="P88" i="13"/>
  <c r="AA88" i="13" s="1"/>
  <c r="AB88" i="13" s="1"/>
  <c r="Z87" i="13"/>
  <c r="P87" i="13"/>
  <c r="AA87" i="13" s="1"/>
  <c r="AA86" i="13"/>
  <c r="Z86" i="13"/>
  <c r="AB86" i="13" s="1"/>
  <c r="P86" i="13"/>
  <c r="Z85" i="13"/>
  <c r="P85" i="13"/>
  <c r="AA85" i="13" s="1"/>
  <c r="AB85" i="13" s="1"/>
  <c r="Z84" i="13"/>
  <c r="AB84" i="13" s="1"/>
  <c r="P84" i="13"/>
  <c r="AA84" i="13" s="1"/>
  <c r="AA83" i="13"/>
  <c r="Z83" i="13"/>
  <c r="P83" i="13"/>
  <c r="Z82" i="13"/>
  <c r="P82" i="13"/>
  <c r="AA82" i="13" s="1"/>
  <c r="AB82" i="13" s="1"/>
  <c r="Z81" i="13"/>
  <c r="P81" i="13"/>
  <c r="AA81" i="13" s="1"/>
  <c r="AA80" i="13"/>
  <c r="Z80" i="13"/>
  <c r="AB80" i="13" s="1"/>
  <c r="P80" i="13"/>
  <c r="Z79" i="13"/>
  <c r="P79" i="13"/>
  <c r="AA79" i="13" s="1"/>
  <c r="AB79" i="13" s="1"/>
  <c r="Z78" i="13"/>
  <c r="P78" i="13"/>
  <c r="AA78" i="13" s="1"/>
  <c r="AA77" i="13"/>
  <c r="Z77" i="13"/>
  <c r="AB77" i="13" s="1"/>
  <c r="P77" i="13"/>
  <c r="Z76" i="13"/>
  <c r="P76" i="13"/>
  <c r="AA76" i="13" s="1"/>
  <c r="AB76" i="13" s="1"/>
  <c r="Z75" i="13"/>
  <c r="P75" i="13"/>
  <c r="AA75" i="13" s="1"/>
  <c r="AA74" i="13"/>
  <c r="Z74" i="13"/>
  <c r="AB74" i="13" s="1"/>
  <c r="P74" i="13"/>
  <c r="Z73" i="13"/>
  <c r="P73" i="13"/>
  <c r="AA73" i="13" s="1"/>
  <c r="AB73" i="13" s="1"/>
  <c r="Z72" i="13"/>
  <c r="P72" i="13"/>
  <c r="AA72" i="13" s="1"/>
  <c r="AA71" i="13"/>
  <c r="Z71" i="13"/>
  <c r="AB71" i="13" s="1"/>
  <c r="P71" i="13"/>
  <c r="Z70" i="13"/>
  <c r="P70" i="13"/>
  <c r="AA70" i="13" s="1"/>
  <c r="AB70" i="13" s="1"/>
  <c r="Z69" i="13"/>
  <c r="P69" i="13"/>
  <c r="AA69" i="13" s="1"/>
  <c r="AA68" i="13"/>
  <c r="Z68" i="13"/>
  <c r="AB68" i="13" s="1"/>
  <c r="P68" i="13"/>
  <c r="Z67" i="13"/>
  <c r="P67" i="13"/>
  <c r="AA67" i="13" s="1"/>
  <c r="AB67" i="13" s="1"/>
  <c r="Z66" i="13"/>
  <c r="P66" i="13"/>
  <c r="AA66" i="13" s="1"/>
  <c r="AA65" i="13"/>
  <c r="Z65" i="13"/>
  <c r="AB65" i="13" s="1"/>
  <c r="P65" i="13"/>
  <c r="Z64" i="13"/>
  <c r="P64" i="13"/>
  <c r="AA64" i="13" s="1"/>
  <c r="AB64" i="13" s="1"/>
  <c r="Z63" i="13"/>
  <c r="P63" i="13"/>
  <c r="AA63" i="13" s="1"/>
  <c r="AA62" i="13"/>
  <c r="Z62" i="13"/>
  <c r="AB62" i="13" s="1"/>
  <c r="P62" i="13"/>
  <c r="Z61" i="13"/>
  <c r="P61" i="13"/>
  <c r="AA61" i="13" s="1"/>
  <c r="AB61" i="13" s="1"/>
  <c r="Z60" i="13"/>
  <c r="P60" i="13"/>
  <c r="AA60" i="13" s="1"/>
  <c r="AA59" i="13"/>
  <c r="Z59" i="13"/>
  <c r="P59" i="13"/>
  <c r="Z58" i="13"/>
  <c r="P58" i="13"/>
  <c r="AA58" i="13" s="1"/>
  <c r="AB58" i="13" s="1"/>
  <c r="Z57" i="13"/>
  <c r="P57" i="13"/>
  <c r="AA57" i="13" s="1"/>
  <c r="AA56" i="13"/>
  <c r="Z56" i="13"/>
  <c r="P56" i="13"/>
  <c r="Z55" i="13"/>
  <c r="P55" i="13"/>
  <c r="AA55" i="13" s="1"/>
  <c r="AB55" i="13" s="1"/>
  <c r="Z54" i="13"/>
  <c r="AB54" i="13" s="1"/>
  <c r="P54" i="13"/>
  <c r="AA54" i="13" s="1"/>
  <c r="AA53" i="13"/>
  <c r="Z53" i="13"/>
  <c r="P53" i="13"/>
  <c r="Z52" i="13"/>
  <c r="P52" i="13"/>
  <c r="AA52" i="13" s="1"/>
  <c r="AB52" i="13" s="1"/>
  <c r="Z51" i="13"/>
  <c r="P51" i="13"/>
  <c r="AA51" i="13" s="1"/>
  <c r="AA50" i="13"/>
  <c r="Z50" i="13"/>
  <c r="AB50" i="13" s="1"/>
  <c r="P50" i="13"/>
  <c r="Z49" i="13"/>
  <c r="P49" i="13"/>
  <c r="AA49" i="13" s="1"/>
  <c r="AB49" i="13" s="1"/>
  <c r="Z48" i="13"/>
  <c r="AB48" i="13" s="1"/>
  <c r="P48" i="13"/>
  <c r="AA48" i="13" s="1"/>
  <c r="AA47" i="13"/>
  <c r="Z47" i="13"/>
  <c r="P47" i="13"/>
  <c r="Z46" i="13"/>
  <c r="P46" i="13"/>
  <c r="AA46" i="13" s="1"/>
  <c r="AB46" i="13" s="1"/>
  <c r="Z45" i="13"/>
  <c r="P45" i="13"/>
  <c r="AA45" i="13" s="1"/>
  <c r="AA44" i="13"/>
  <c r="Z44" i="13"/>
  <c r="AB44" i="13" s="1"/>
  <c r="P44" i="13"/>
  <c r="Z43" i="13"/>
  <c r="P43" i="13"/>
  <c r="AA43" i="13" s="1"/>
  <c r="AB43" i="13" s="1"/>
  <c r="Z42" i="13"/>
  <c r="P42" i="13"/>
  <c r="AA42" i="13" s="1"/>
  <c r="AA41" i="13"/>
  <c r="Z41" i="13"/>
  <c r="P41" i="13"/>
  <c r="Z40" i="13"/>
  <c r="P40" i="13"/>
  <c r="AA40" i="13" s="1"/>
  <c r="AB40" i="13" s="1"/>
  <c r="Z39" i="13"/>
  <c r="P39" i="13"/>
  <c r="AA39" i="13" s="1"/>
  <c r="AA38" i="13"/>
  <c r="Z38" i="13"/>
  <c r="AB38" i="13" s="1"/>
  <c r="P38" i="13"/>
  <c r="Z37" i="13"/>
  <c r="P37" i="13"/>
  <c r="AA37" i="13" s="1"/>
  <c r="AB37" i="13" s="1"/>
  <c r="Z36" i="13"/>
  <c r="P36" i="13"/>
  <c r="AA36" i="13" s="1"/>
  <c r="AA35" i="13"/>
  <c r="Z35" i="13"/>
  <c r="AB35" i="13" s="1"/>
  <c r="P35" i="13"/>
  <c r="Z34" i="13"/>
  <c r="P34" i="13"/>
  <c r="AA34" i="13" s="1"/>
  <c r="AB34" i="13" s="1"/>
  <c r="Z33" i="13"/>
  <c r="P33" i="13"/>
  <c r="AA33" i="13" s="1"/>
  <c r="AA32" i="13"/>
  <c r="Z32" i="13"/>
  <c r="AB32" i="13" s="1"/>
  <c r="P32" i="13"/>
  <c r="Z31" i="13"/>
  <c r="P31" i="13"/>
  <c r="AA31" i="13" s="1"/>
  <c r="AB31" i="13" s="1"/>
  <c r="Z30" i="13"/>
  <c r="P30" i="13"/>
  <c r="AA30" i="13" s="1"/>
  <c r="AA29" i="13"/>
  <c r="Z29" i="13"/>
  <c r="AB29" i="13" s="1"/>
  <c r="P29" i="13"/>
  <c r="Z28" i="13"/>
  <c r="P28" i="13"/>
  <c r="AA28" i="13" s="1"/>
  <c r="AB28" i="13" s="1"/>
  <c r="Z27" i="13"/>
  <c r="P27" i="13"/>
  <c r="AA27" i="13" s="1"/>
  <c r="Z26" i="13"/>
  <c r="P26" i="13"/>
  <c r="AA26" i="13" s="1"/>
  <c r="Z25" i="13"/>
  <c r="P25" i="13"/>
  <c r="AA25" i="13" s="1"/>
  <c r="AB25" i="13" s="1"/>
  <c r="Z24" i="13"/>
  <c r="P24" i="13"/>
  <c r="AA24" i="13" s="1"/>
  <c r="Z23" i="13"/>
  <c r="P23" i="13"/>
  <c r="AA23" i="13" s="1"/>
  <c r="Z22" i="13"/>
  <c r="P22" i="13"/>
  <c r="AA22" i="13" s="1"/>
  <c r="AB22" i="13" s="1"/>
  <c r="Z21" i="13"/>
  <c r="P21" i="13"/>
  <c r="AA21" i="13" s="1"/>
  <c r="Z20" i="13"/>
  <c r="P20" i="13"/>
  <c r="AA20" i="13" s="1"/>
  <c r="Z19" i="13"/>
  <c r="P19" i="13"/>
  <c r="AA19" i="13" s="1"/>
  <c r="AB19" i="13" s="1"/>
  <c r="Z18" i="13"/>
  <c r="AB18" i="13" s="1"/>
  <c r="P18" i="13"/>
  <c r="AA18" i="13" s="1"/>
  <c r="AA17" i="13"/>
  <c r="Z17" i="13"/>
  <c r="P17" i="13"/>
  <c r="Z16" i="13"/>
  <c r="P16" i="13"/>
  <c r="AA16" i="13" s="1"/>
  <c r="AB16" i="13" s="1"/>
  <c r="Z15" i="13"/>
  <c r="P15" i="13"/>
  <c r="AA15" i="13" s="1"/>
  <c r="Z14" i="13"/>
  <c r="P14" i="13"/>
  <c r="AA14" i="13" s="1"/>
  <c r="Z13" i="13"/>
  <c r="P13" i="13"/>
  <c r="AA13" i="13" s="1"/>
  <c r="AB13" i="13" s="1"/>
  <c r="Z12" i="13"/>
  <c r="AB12" i="13" s="1"/>
  <c r="P12" i="13"/>
  <c r="AA12" i="13" s="1"/>
  <c r="Z11" i="13"/>
  <c r="P11" i="13"/>
  <c r="AA11" i="13" s="1"/>
  <c r="Z10" i="13"/>
  <c r="P10" i="13"/>
  <c r="AA10" i="13" s="1"/>
  <c r="AB10" i="13" s="1"/>
  <c r="Z9" i="13"/>
  <c r="P9" i="13"/>
  <c r="AA9" i="13" s="1"/>
  <c r="AA8" i="13"/>
  <c r="Z8" i="13"/>
  <c r="AB8" i="13" s="1"/>
  <c r="P8" i="13"/>
  <c r="Z7" i="13"/>
  <c r="P7" i="13"/>
  <c r="AA7" i="13" s="1"/>
  <c r="AB7" i="13" s="1"/>
  <c r="Z6" i="13"/>
  <c r="Z156" i="13" s="1"/>
  <c r="P6" i="13"/>
  <c r="AA6" i="13" s="1"/>
  <c r="I38" i="6"/>
  <c r="H38" i="6"/>
  <c r="G38" i="6"/>
  <c r="F38" i="6"/>
  <c r="I37" i="6"/>
  <c r="H37" i="6"/>
  <c r="G37" i="6"/>
  <c r="F37" i="6"/>
  <c r="I36" i="6"/>
  <c r="H36" i="6"/>
  <c r="G36" i="6"/>
  <c r="F36" i="6"/>
  <c r="I35" i="6"/>
  <c r="H35" i="6"/>
  <c r="G35" i="6"/>
  <c r="F35" i="6"/>
  <c r="Z34" i="6"/>
  <c r="P34" i="6"/>
  <c r="AA34" i="6" s="1"/>
  <c r="Z33" i="6"/>
  <c r="P33" i="6"/>
  <c r="AA33" i="6" s="1"/>
  <c r="Z32" i="6"/>
  <c r="P32" i="6"/>
  <c r="AA32" i="6" s="1"/>
  <c r="Z31" i="6"/>
  <c r="AB31" i="6" s="1"/>
  <c r="P31" i="6"/>
  <c r="AA31" i="6" s="1"/>
  <c r="Z30" i="6"/>
  <c r="P30" i="6"/>
  <c r="AA30" i="6" s="1"/>
  <c r="AA29" i="6"/>
  <c r="Z29" i="6"/>
  <c r="P29" i="6"/>
  <c r="Z28" i="6"/>
  <c r="P28" i="6"/>
  <c r="AA28" i="6" s="1"/>
  <c r="Z27" i="6"/>
  <c r="AB27" i="6" s="1"/>
  <c r="P27" i="6"/>
  <c r="AA27" i="6" s="1"/>
  <c r="AA26" i="6"/>
  <c r="Z26" i="6"/>
  <c r="P26" i="6"/>
  <c r="Z25" i="6"/>
  <c r="P25" i="6"/>
  <c r="AA25" i="6" s="1"/>
  <c r="Z24" i="6"/>
  <c r="AB24" i="6" s="1"/>
  <c r="P24" i="6"/>
  <c r="AA24" i="6" s="1"/>
  <c r="Z23" i="6"/>
  <c r="P23" i="6"/>
  <c r="AA23" i="6" s="1"/>
  <c r="Z22" i="6"/>
  <c r="AB22" i="6" s="1"/>
  <c r="P22" i="6"/>
  <c r="AA22" i="6" s="1"/>
  <c r="Z21" i="6"/>
  <c r="AB21" i="6" s="1"/>
  <c r="P21" i="6"/>
  <c r="AA21" i="6" s="1"/>
  <c r="Z20" i="6"/>
  <c r="P20" i="6"/>
  <c r="AA20" i="6" s="1"/>
  <c r="Z19" i="6"/>
  <c r="AB19" i="6" s="1"/>
  <c r="P19" i="6"/>
  <c r="AA19" i="6" s="1"/>
  <c r="Z18" i="6"/>
  <c r="P18" i="6"/>
  <c r="AA18" i="6" s="1"/>
  <c r="AA17" i="6"/>
  <c r="Z17" i="6"/>
  <c r="AB17" i="6" s="1"/>
  <c r="P17" i="6"/>
  <c r="Z16" i="6"/>
  <c r="AB16" i="6" s="1"/>
  <c r="P16" i="6"/>
  <c r="AA16" i="6" s="1"/>
  <c r="Z15" i="6"/>
  <c r="P15" i="6"/>
  <c r="AA15" i="6" s="1"/>
  <c r="AA14" i="6"/>
  <c r="Z14" i="6"/>
  <c r="P14" i="6"/>
  <c r="Z13" i="6"/>
  <c r="P13" i="6"/>
  <c r="AA13" i="6" s="1"/>
  <c r="Z12" i="6"/>
  <c r="P12" i="6"/>
  <c r="AA12" i="6" s="1"/>
  <c r="AA11" i="6"/>
  <c r="Z11" i="6"/>
  <c r="AB11" i="6" s="1"/>
  <c r="P11" i="6"/>
  <c r="Z10" i="6"/>
  <c r="P10" i="6"/>
  <c r="AA10" i="6" s="1"/>
  <c r="Z9" i="6"/>
  <c r="AB9" i="6" s="1"/>
  <c r="P9" i="6"/>
  <c r="AA9" i="6" s="1"/>
  <c r="Z8" i="6"/>
  <c r="P8" i="6"/>
  <c r="AA8" i="6" s="1"/>
  <c r="Z7" i="6"/>
  <c r="P7" i="6"/>
  <c r="AA7" i="6" s="1"/>
  <c r="Z6" i="6"/>
  <c r="P6" i="6"/>
  <c r="AA6" i="6" s="1"/>
  <c r="I39" i="5"/>
  <c r="H39" i="5"/>
  <c r="G39" i="5"/>
  <c r="F39" i="5"/>
  <c r="I38" i="5"/>
  <c r="H38" i="5"/>
  <c r="G38" i="5"/>
  <c r="F38" i="5"/>
  <c r="I37" i="5"/>
  <c r="H37" i="5"/>
  <c r="G37" i="5"/>
  <c r="F37" i="5"/>
  <c r="I36" i="5"/>
  <c r="H36" i="5"/>
  <c r="G36" i="5"/>
  <c r="F36" i="5"/>
  <c r="Z35" i="5"/>
  <c r="AB35" i="5" s="1"/>
  <c r="P35" i="5"/>
  <c r="AA35" i="5" s="1"/>
  <c r="Z34" i="5"/>
  <c r="P34" i="5"/>
  <c r="AA34" i="5" s="1"/>
  <c r="Z33" i="5"/>
  <c r="P33" i="5"/>
  <c r="AA33" i="5" s="1"/>
  <c r="Z32" i="5"/>
  <c r="P32" i="5"/>
  <c r="AA32" i="5" s="1"/>
  <c r="Z31" i="5"/>
  <c r="AB31" i="5" s="1"/>
  <c r="P31" i="5"/>
  <c r="AA31" i="5" s="1"/>
  <c r="AA30" i="5"/>
  <c r="Z30" i="5"/>
  <c r="P30" i="5"/>
  <c r="Z29" i="5"/>
  <c r="P29" i="5"/>
  <c r="AA29" i="5" s="1"/>
  <c r="Z28" i="5"/>
  <c r="P28" i="5"/>
  <c r="AA28" i="5" s="1"/>
  <c r="Z27" i="5"/>
  <c r="P27" i="5"/>
  <c r="AA27" i="5" s="1"/>
  <c r="Z26" i="5"/>
  <c r="AB26" i="5" s="1"/>
  <c r="P26" i="5"/>
  <c r="AA26" i="5" s="1"/>
  <c r="Z25" i="5"/>
  <c r="AB25" i="5" s="1"/>
  <c r="P25" i="5"/>
  <c r="AA25" i="5" s="1"/>
  <c r="AA24" i="5"/>
  <c r="Z24" i="5"/>
  <c r="P24" i="5"/>
  <c r="Z23" i="5"/>
  <c r="P23" i="5"/>
  <c r="AA23" i="5" s="1"/>
  <c r="Z22" i="5"/>
  <c r="AB22" i="5" s="1"/>
  <c r="P22" i="5"/>
  <c r="AA22" i="5" s="1"/>
  <c r="AA21" i="5"/>
  <c r="Z21" i="5"/>
  <c r="P21" i="5"/>
  <c r="Z20" i="5"/>
  <c r="AB20" i="5" s="1"/>
  <c r="P20" i="5"/>
  <c r="AA20" i="5" s="1"/>
  <c r="Z19" i="5"/>
  <c r="AB19" i="5" s="1"/>
  <c r="P19" i="5"/>
  <c r="AA19" i="5" s="1"/>
  <c r="Z18" i="5"/>
  <c r="P18" i="5"/>
  <c r="AA18" i="5" s="1"/>
  <c r="Z17" i="5"/>
  <c r="AB17" i="5" s="1"/>
  <c r="P17" i="5"/>
  <c r="AA17" i="5" s="1"/>
  <c r="Z16" i="5"/>
  <c r="AB16" i="5" s="1"/>
  <c r="P16" i="5"/>
  <c r="AA16" i="5" s="1"/>
  <c r="Z15" i="5"/>
  <c r="P15" i="5"/>
  <c r="AA15" i="5" s="1"/>
  <c r="Z14" i="5"/>
  <c r="AB14" i="5" s="1"/>
  <c r="P14" i="5"/>
  <c r="AA14" i="5" s="1"/>
  <c r="Z13" i="5"/>
  <c r="P13" i="5"/>
  <c r="AA13" i="5" s="1"/>
  <c r="AA12" i="5"/>
  <c r="Z12" i="5"/>
  <c r="AB12" i="5" s="1"/>
  <c r="P12" i="5"/>
  <c r="Z11" i="5"/>
  <c r="AB11" i="5" s="1"/>
  <c r="P11" i="5"/>
  <c r="AA11" i="5" s="1"/>
  <c r="Z10" i="5"/>
  <c r="P10" i="5"/>
  <c r="AA10" i="5" s="1"/>
  <c r="AA9" i="5"/>
  <c r="Z9" i="5"/>
  <c r="P9" i="5"/>
  <c r="Z8" i="5"/>
  <c r="P8" i="5"/>
  <c r="AA8" i="5" s="1"/>
  <c r="Z7" i="5"/>
  <c r="P7" i="5"/>
  <c r="AA7" i="5" s="1"/>
  <c r="AA6" i="5"/>
  <c r="Z6" i="5"/>
  <c r="P6" i="5"/>
  <c r="I38" i="4"/>
  <c r="H38" i="4"/>
  <c r="G38" i="4"/>
  <c r="F38" i="4"/>
  <c r="I37" i="4"/>
  <c r="H37" i="4"/>
  <c r="G37" i="4"/>
  <c r="F37" i="4"/>
  <c r="I36" i="4"/>
  <c r="H36" i="4"/>
  <c r="G36" i="4"/>
  <c r="F36" i="4"/>
  <c r="I35" i="4"/>
  <c r="H35" i="4"/>
  <c r="G35" i="4"/>
  <c r="F35" i="4"/>
  <c r="Y34" i="4"/>
  <c r="O34" i="4"/>
  <c r="Z34" i="4" s="1"/>
  <c r="Z33" i="4"/>
  <c r="Y33" i="4"/>
  <c r="AA33" i="4" s="1"/>
  <c r="O33" i="4"/>
  <c r="Z32" i="4"/>
  <c r="Y32" i="4"/>
  <c r="AA32" i="4" s="1"/>
  <c r="O32" i="4"/>
  <c r="Y31" i="4"/>
  <c r="O31" i="4"/>
  <c r="Z31" i="4" s="1"/>
  <c r="Y30" i="4"/>
  <c r="O30" i="4"/>
  <c r="Z30" i="4" s="1"/>
  <c r="AA30" i="4" s="1"/>
  <c r="Y29" i="4"/>
  <c r="AA29" i="4" s="1"/>
  <c r="O29" i="4"/>
  <c r="Z29" i="4" s="1"/>
  <c r="Z28" i="4"/>
  <c r="Y28" i="4"/>
  <c r="O28" i="4"/>
  <c r="Z27" i="4"/>
  <c r="Y27" i="4"/>
  <c r="AA27" i="4" s="1"/>
  <c r="O27" i="4"/>
  <c r="Y26" i="4"/>
  <c r="O26" i="4"/>
  <c r="Z26" i="4" s="1"/>
  <c r="AA26" i="4" s="1"/>
  <c r="Z25" i="4"/>
  <c r="Y25" i="4"/>
  <c r="O25" i="4"/>
  <c r="Y24" i="4"/>
  <c r="AA24" i="4" s="1"/>
  <c r="O24" i="4"/>
  <c r="Z24" i="4" s="1"/>
  <c r="Z23" i="4"/>
  <c r="AA23" i="4" s="1"/>
  <c r="Y23" i="4"/>
  <c r="O23" i="4"/>
  <c r="Z22" i="4"/>
  <c r="Y22" i="4"/>
  <c r="O22" i="4"/>
  <c r="Y21" i="4"/>
  <c r="O21" i="4"/>
  <c r="Z21" i="4" s="1"/>
  <c r="Z20" i="4"/>
  <c r="Y20" i="4"/>
  <c r="AA20" i="4" s="1"/>
  <c r="O20" i="4"/>
  <c r="Y19" i="4"/>
  <c r="O19" i="4"/>
  <c r="Z19" i="4" s="1"/>
  <c r="Y18" i="4"/>
  <c r="O18" i="4"/>
  <c r="Z18" i="4" s="1"/>
  <c r="AA18" i="4" s="1"/>
  <c r="Z17" i="4"/>
  <c r="AA17" i="4" s="1"/>
  <c r="Y17" i="4"/>
  <c r="O17" i="4"/>
  <c r="Y16" i="4"/>
  <c r="O16" i="4"/>
  <c r="Z16" i="4" s="1"/>
  <c r="AA15" i="4"/>
  <c r="Z15" i="4"/>
  <c r="Y15" i="4"/>
  <c r="O15" i="4"/>
  <c r="Z14" i="4"/>
  <c r="Y14" i="4"/>
  <c r="AA14" i="4" s="1"/>
  <c r="O14" i="4"/>
  <c r="Z13" i="4"/>
  <c r="Y13" i="4"/>
  <c r="O13" i="4"/>
  <c r="AA12" i="4"/>
  <c r="Z12" i="4"/>
  <c r="Y12" i="4"/>
  <c r="O12" i="4"/>
  <c r="Y11" i="4"/>
  <c r="AA11" i="4" s="1"/>
  <c r="O11" i="4"/>
  <c r="Z11" i="4" s="1"/>
  <c r="Z10" i="4"/>
  <c r="AA10" i="4" s="1"/>
  <c r="Y10" i="4"/>
  <c r="O10" i="4"/>
  <c r="AA9" i="4"/>
  <c r="Z9" i="4"/>
  <c r="Y9" i="4"/>
  <c r="O9" i="4"/>
  <c r="Y8" i="4"/>
  <c r="AA8" i="4" s="1"/>
  <c r="O8" i="4"/>
  <c r="Z8" i="4" s="1"/>
  <c r="Z7" i="4"/>
  <c r="AA7" i="4" s="1"/>
  <c r="Y7" i="4"/>
  <c r="O7" i="4"/>
  <c r="AA6" i="4"/>
  <c r="Z6" i="4"/>
  <c r="Y6" i="4"/>
  <c r="Z36" i="4" s="1"/>
  <c r="AA36" i="4" s="1"/>
  <c r="O6" i="4"/>
  <c r="Z40" i="3"/>
  <c r="I38" i="3"/>
  <c r="H38" i="3"/>
  <c r="G38" i="3"/>
  <c r="F38" i="3"/>
  <c r="I37" i="3"/>
  <c r="H37" i="3"/>
  <c r="G37" i="3"/>
  <c r="F37" i="3"/>
  <c r="Z36" i="3"/>
  <c r="AA36" i="3" s="1"/>
  <c r="I36" i="3"/>
  <c r="H36" i="3"/>
  <c r="G36" i="3"/>
  <c r="F36" i="3"/>
  <c r="I35" i="3"/>
  <c r="H35" i="3"/>
  <c r="G35" i="3"/>
  <c r="F35" i="3"/>
  <c r="AA34" i="3"/>
  <c r="AB34" i="3" s="1"/>
  <c r="Z34" i="3"/>
  <c r="P34" i="3"/>
  <c r="AA33" i="3"/>
  <c r="AB33" i="3" s="1"/>
  <c r="Z33" i="3"/>
  <c r="P33" i="3"/>
  <c r="Z32" i="3"/>
  <c r="P32" i="3"/>
  <c r="AA32" i="3" s="1"/>
  <c r="AA31" i="3"/>
  <c r="AB31" i="3" s="1"/>
  <c r="Z31" i="3"/>
  <c r="P31" i="3"/>
  <c r="AA30" i="3"/>
  <c r="AB30" i="3" s="1"/>
  <c r="Z30" i="3"/>
  <c r="P30" i="3"/>
  <c r="Z29" i="3"/>
  <c r="AB29" i="3" s="1"/>
  <c r="P29" i="3"/>
  <c r="AA29" i="3" s="1"/>
  <c r="AA28" i="3"/>
  <c r="AB28" i="3" s="1"/>
  <c r="Z28" i="3"/>
  <c r="P28" i="3"/>
  <c r="AA27" i="3"/>
  <c r="AB27" i="3" s="1"/>
  <c r="Z27" i="3"/>
  <c r="P27" i="3"/>
  <c r="Z26" i="3"/>
  <c r="P26" i="3"/>
  <c r="AA26" i="3" s="1"/>
  <c r="AA25" i="3"/>
  <c r="AB25" i="3" s="1"/>
  <c r="Z25" i="3"/>
  <c r="P25" i="3"/>
  <c r="AA24" i="3"/>
  <c r="AB24" i="3" s="1"/>
  <c r="Z24" i="3"/>
  <c r="P24" i="3"/>
  <c r="Z23" i="3"/>
  <c r="P23" i="3"/>
  <c r="AA23" i="3" s="1"/>
  <c r="AA22" i="3"/>
  <c r="AB22" i="3" s="1"/>
  <c r="Z22" i="3"/>
  <c r="P22" i="3"/>
  <c r="AA21" i="3"/>
  <c r="AB21" i="3" s="1"/>
  <c r="Z21" i="3"/>
  <c r="P21" i="3"/>
  <c r="Z20" i="3"/>
  <c r="AB20" i="3" s="1"/>
  <c r="P20" i="3"/>
  <c r="AA20" i="3" s="1"/>
  <c r="AA19" i="3"/>
  <c r="AB19" i="3" s="1"/>
  <c r="Z19" i="3"/>
  <c r="P19" i="3"/>
  <c r="AA18" i="3"/>
  <c r="AB18" i="3" s="1"/>
  <c r="Z18" i="3"/>
  <c r="P18" i="3"/>
  <c r="Z17" i="3"/>
  <c r="P17" i="3"/>
  <c r="AA17" i="3" s="1"/>
  <c r="AA16" i="3"/>
  <c r="AB16" i="3" s="1"/>
  <c r="Z16" i="3"/>
  <c r="P16" i="3"/>
  <c r="AA15" i="3"/>
  <c r="AB15" i="3" s="1"/>
  <c r="Z15" i="3"/>
  <c r="P15" i="3"/>
  <c r="Z14" i="3"/>
  <c r="P14" i="3"/>
  <c r="AA14" i="3" s="1"/>
  <c r="AA13" i="3"/>
  <c r="AB13" i="3" s="1"/>
  <c r="Z13" i="3"/>
  <c r="P13" i="3"/>
  <c r="AA12" i="3"/>
  <c r="AB12" i="3" s="1"/>
  <c r="Z12" i="3"/>
  <c r="P12" i="3"/>
  <c r="Z11" i="3"/>
  <c r="AB11" i="3" s="1"/>
  <c r="P11" i="3"/>
  <c r="AA11" i="3" s="1"/>
  <c r="AA10" i="3"/>
  <c r="AB10" i="3" s="1"/>
  <c r="Z10" i="3"/>
  <c r="P10" i="3"/>
  <c r="AA9" i="3"/>
  <c r="AB9" i="3" s="1"/>
  <c r="Z9" i="3"/>
  <c r="P9" i="3"/>
  <c r="Z8" i="3"/>
  <c r="Z41" i="3" s="1"/>
  <c r="P8" i="3"/>
  <c r="AA8" i="3" s="1"/>
  <c r="AA7" i="3"/>
  <c r="AB7" i="3" s="1"/>
  <c r="Z7" i="3"/>
  <c r="P7" i="3"/>
  <c r="AA6" i="3"/>
  <c r="AB6" i="3" s="1"/>
  <c r="Z6" i="3"/>
  <c r="Z39" i="3" s="1"/>
  <c r="AA39" i="3" s="1"/>
  <c r="P6" i="3"/>
  <c r="AB17" i="3" l="1"/>
  <c r="AB26" i="3"/>
  <c r="AA21" i="4"/>
  <c r="AB23" i="3"/>
  <c r="AB14" i="3"/>
  <c r="AB32" i="3"/>
  <c r="Z40" i="5"/>
  <c r="AA40" i="5" s="1"/>
  <c r="AB6" i="5"/>
  <c r="AB27" i="5"/>
  <c r="AB32" i="5"/>
  <c r="Z36" i="5"/>
  <c r="AA36" i="5" s="1"/>
  <c r="Z39" i="6"/>
  <c r="AA39" i="6" s="1"/>
  <c r="Z37" i="6"/>
  <c r="AA37" i="6" s="1"/>
  <c r="AB6" i="6"/>
  <c r="AB32" i="6"/>
  <c r="AB23" i="13"/>
  <c r="AB33" i="13"/>
  <c r="AB59" i="13"/>
  <c r="AB69" i="13"/>
  <c r="AB95" i="13"/>
  <c r="AB105" i="13"/>
  <c r="AB131" i="13"/>
  <c r="AB141" i="13"/>
  <c r="Z153" i="13"/>
  <c r="AA153" i="13" s="1"/>
  <c r="Z38" i="5"/>
  <c r="AA38" i="5" s="1"/>
  <c r="AB28" i="5"/>
  <c r="AB8" i="3"/>
  <c r="AB36" i="3" s="1"/>
  <c r="AC36" i="3" s="1"/>
  <c r="AA31" i="4"/>
  <c r="Z38" i="4"/>
  <c r="AA38" i="4" s="1"/>
  <c r="AB8" i="5"/>
  <c r="AB13" i="5"/>
  <c r="AB8" i="6"/>
  <c r="AB13" i="6"/>
  <c r="AB18" i="6"/>
  <c r="Z36" i="6"/>
  <c r="AA36" i="6" s="1"/>
  <c r="AB9" i="13"/>
  <c r="AB45" i="13"/>
  <c r="AB81" i="13"/>
  <c r="AB117" i="13"/>
  <c r="AB7" i="6"/>
  <c r="AB39" i="13"/>
  <c r="AB111" i="13"/>
  <c r="AB147" i="13"/>
  <c r="Z38" i="6"/>
  <c r="AA38" i="6" s="1"/>
  <c r="AB96" i="13"/>
  <c r="Z35" i="3"/>
  <c r="AA35" i="3" s="1"/>
  <c r="Z38" i="3"/>
  <c r="AA38" i="3" s="1"/>
  <c r="AA28" i="4"/>
  <c r="AB24" i="5"/>
  <c r="AB29" i="5"/>
  <c r="AB34" i="5"/>
  <c r="AB29" i="6"/>
  <c r="AB34" i="6"/>
  <c r="Z40" i="6"/>
  <c r="AB20" i="13"/>
  <c r="AB30" i="13"/>
  <c r="AB56" i="13"/>
  <c r="AB66" i="13"/>
  <c r="AB102" i="13"/>
  <c r="AB128" i="13"/>
  <c r="AB138" i="13"/>
  <c r="AB7" i="5"/>
  <c r="AB33" i="5"/>
  <c r="AB75" i="13"/>
  <c r="AB14" i="13"/>
  <c r="AB60" i="13"/>
  <c r="Z41" i="4"/>
  <c r="AA25" i="4"/>
  <c r="AB9" i="5"/>
  <c r="Z37" i="5"/>
  <c r="AA37" i="5" s="1"/>
  <c r="Z39" i="5"/>
  <c r="AA39" i="5" s="1"/>
  <c r="AB14" i="6"/>
  <c r="AB15" i="13"/>
  <c r="AB41" i="13"/>
  <c r="AB51" i="13"/>
  <c r="AB87" i="13"/>
  <c r="AB113" i="13"/>
  <c r="AB123" i="13"/>
  <c r="AB28" i="6"/>
  <c r="AB132" i="13"/>
  <c r="AA22" i="4"/>
  <c r="Z39" i="4"/>
  <c r="AA39" i="4" s="1"/>
  <c r="AB30" i="5"/>
  <c r="Z41" i="6"/>
  <c r="AB26" i="13"/>
  <c r="AB36" i="13"/>
  <c r="AB72" i="13"/>
  <c r="AB108" i="13"/>
  <c r="AB134" i="13"/>
  <c r="AB144" i="13"/>
  <c r="AA34" i="4"/>
  <c r="AB18" i="5"/>
  <c r="AB24" i="13"/>
  <c r="AB40" i="4"/>
  <c r="AA19" i="4"/>
  <c r="AB15" i="5"/>
  <c r="Z41" i="5"/>
  <c r="AB20" i="6"/>
  <c r="AB25" i="6"/>
  <c r="AB30" i="6"/>
  <c r="AB11" i="13"/>
  <c r="AB21" i="13"/>
  <c r="AB47" i="13"/>
  <c r="AB57" i="13"/>
  <c r="AB83" i="13"/>
  <c r="AB93" i="13"/>
  <c r="AB119" i="13"/>
  <c r="AB129" i="13"/>
  <c r="AB12" i="6"/>
  <c r="AB23" i="5"/>
  <c r="AB33" i="6"/>
  <c r="Z37" i="3"/>
  <c r="AA37" i="3" s="1"/>
  <c r="AA16" i="4"/>
  <c r="Z35" i="4"/>
  <c r="AA35" i="4" s="1"/>
  <c r="Z40" i="4"/>
  <c r="AB10" i="5"/>
  <c r="AB10" i="6"/>
  <c r="AB15" i="6"/>
  <c r="Z155" i="13"/>
  <c r="AA155" i="13" s="1"/>
  <c r="Z152" i="13"/>
  <c r="AA152" i="13" s="1"/>
  <c r="Z154" i="13"/>
  <c r="AA154" i="13" s="1"/>
  <c r="Z151" i="13"/>
  <c r="AA151" i="13" s="1"/>
  <c r="AB6" i="13"/>
  <c r="Z157" i="13"/>
  <c r="AB42" i="13"/>
  <c r="AB78" i="13"/>
  <c r="AB150" i="13"/>
  <c r="AB23" i="6"/>
  <c r="AA13" i="4"/>
  <c r="AB35" i="4" s="1"/>
  <c r="AC35" i="4" s="1"/>
  <c r="Z37" i="4"/>
  <c r="AA37" i="4" s="1"/>
  <c r="AB21" i="5"/>
  <c r="Z42" i="5"/>
  <c r="AB26" i="6"/>
  <c r="Z35" i="6"/>
  <c r="AA35" i="6" s="1"/>
  <c r="AB17" i="13"/>
  <c r="AB27" i="13"/>
  <c r="AB53" i="13"/>
  <c r="AB63" i="13"/>
  <c r="AB89" i="13"/>
  <c r="AB99" i="13"/>
  <c r="AB125" i="13"/>
  <c r="AB135" i="13"/>
  <c r="AB40" i="5" l="1"/>
  <c r="AC40" i="5" s="1"/>
  <c r="AB38" i="5"/>
  <c r="AC38" i="5" s="1"/>
  <c r="AB39" i="5"/>
  <c r="AC39" i="5" s="1"/>
  <c r="AB36" i="5"/>
  <c r="AC36" i="5" s="1"/>
  <c r="AB42" i="5"/>
  <c r="AB41" i="5"/>
  <c r="AB37" i="5"/>
  <c r="AC37" i="5" s="1"/>
  <c r="AB37" i="4"/>
  <c r="AC37" i="4" s="1"/>
  <c r="AB39" i="4"/>
  <c r="AC39" i="4" s="1"/>
  <c r="AB38" i="4"/>
  <c r="AC38" i="4" s="1"/>
  <c r="AB36" i="4"/>
  <c r="AC36" i="4" s="1"/>
  <c r="AB41" i="3"/>
  <c r="AB37" i="3"/>
  <c r="AC37" i="3" s="1"/>
  <c r="AB41" i="4"/>
  <c r="AB39" i="6"/>
  <c r="AC39" i="6" s="1"/>
  <c r="AB37" i="6"/>
  <c r="AC37" i="6" s="1"/>
  <c r="AB38" i="6"/>
  <c r="AC38" i="6" s="1"/>
  <c r="AB35" i="6"/>
  <c r="AC35" i="6" s="1"/>
  <c r="AB41" i="6"/>
  <c r="AB40" i="6"/>
  <c r="AB36" i="6"/>
  <c r="AC36" i="6" s="1"/>
  <c r="AB39" i="3"/>
  <c r="AC39" i="3" s="1"/>
  <c r="AB35" i="3"/>
  <c r="AC35" i="3" s="1"/>
  <c r="AB154" i="13"/>
  <c r="AC154" i="13" s="1"/>
  <c r="AB151" i="13"/>
  <c r="AC151" i="13" s="1"/>
  <c r="AB157" i="13"/>
  <c r="AB153" i="13"/>
  <c r="AC153" i="13" s="1"/>
  <c r="AB155" i="13"/>
  <c r="AC155" i="13" s="1"/>
  <c r="AB156" i="13"/>
  <c r="AB152" i="13"/>
  <c r="AC152" i="13" s="1"/>
  <c r="AB38" i="3"/>
  <c r="AC38" i="3" s="1"/>
  <c r="AB40" i="3"/>
</calcChain>
</file>

<file path=xl/sharedStrings.xml><?xml version="1.0" encoding="utf-8"?>
<sst xmlns="http://schemas.openxmlformats.org/spreadsheetml/2006/main" count="3571" uniqueCount="331">
  <si>
    <t>计算机学院</t>
  </si>
  <si>
    <t>任务号 ：</t>
  </si>
  <si>
    <t xml:space="preserve">课程名： </t>
  </si>
  <si>
    <t>教师： -主讲</t>
  </si>
  <si>
    <t>平时成绩登记表</t>
  </si>
  <si>
    <t>人数：</t>
  </si>
  <si>
    <t>教师签名：</t>
  </si>
  <si>
    <t>日期：</t>
  </si>
  <si>
    <t xml:space="preserve"> </t>
  </si>
  <si>
    <t>班级</t>
  </si>
  <si>
    <t>学号</t>
  </si>
  <si>
    <t>姓名</t>
  </si>
  <si>
    <t>性别</t>
  </si>
  <si>
    <t>实验报告1</t>
  </si>
  <si>
    <t>实验报告2</t>
  </si>
  <si>
    <t>实验报告3</t>
  </si>
  <si>
    <t>实验报告4</t>
  </si>
  <si>
    <t>总评</t>
  </si>
  <si>
    <t>a</t>
  </si>
  <si>
    <t>b</t>
  </si>
  <si>
    <t>c</t>
  </si>
  <si>
    <t>d</t>
  </si>
  <si>
    <t>e</t>
  </si>
  <si>
    <t>f</t>
  </si>
  <si>
    <t>g</t>
  </si>
  <si>
    <t>课程名： 软件项目管理</t>
  </si>
  <si>
    <t>教师：雷光波 -主讲</t>
  </si>
  <si>
    <t>作业1</t>
  </si>
  <si>
    <t>作业2</t>
  </si>
  <si>
    <t>作业3</t>
  </si>
  <si>
    <t>平时表现1</t>
  </si>
  <si>
    <t>平时表现2</t>
  </si>
  <si>
    <t>平时表现3</t>
  </si>
  <si>
    <t>总平时成绩</t>
  </si>
  <si>
    <t>h</t>
  </si>
  <si>
    <t>i</t>
  </si>
  <si>
    <t>j</t>
  </si>
  <si>
    <t>第1题</t>
  </si>
  <si>
    <t>第2题</t>
  </si>
  <si>
    <t>第3题</t>
  </si>
  <si>
    <t>第4题</t>
  </si>
  <si>
    <t>第5题</t>
  </si>
  <si>
    <t>第6题</t>
  </si>
  <si>
    <t>第7题</t>
  </si>
  <si>
    <t>第8题</t>
  </si>
  <si>
    <t>第9题</t>
  </si>
  <si>
    <t>卷面总分</t>
  </si>
  <si>
    <t>平时总分</t>
  </si>
  <si>
    <t>18软工1班</t>
  </si>
  <si>
    <t>汪弘扬</t>
  </si>
  <si>
    <t>男</t>
  </si>
  <si>
    <t>余思</t>
  </si>
  <si>
    <t>女</t>
  </si>
  <si>
    <t>郑越博</t>
  </si>
  <si>
    <t>梅文秀</t>
  </si>
  <si>
    <t>刘宝阳</t>
  </si>
  <si>
    <t>邓军松</t>
  </si>
  <si>
    <t>胡凯微</t>
  </si>
  <si>
    <t>王瀚民</t>
  </si>
  <si>
    <t>汪奕琰</t>
  </si>
  <si>
    <t>陈佳语</t>
  </si>
  <si>
    <t>洪小龙</t>
  </si>
  <si>
    <t>蒋涵</t>
  </si>
  <si>
    <t>易艾迪</t>
  </si>
  <si>
    <t>吴思鹏</t>
  </si>
  <si>
    <t>龚鑫</t>
  </si>
  <si>
    <t>严奥</t>
  </si>
  <si>
    <t>夏逸伦</t>
  </si>
  <si>
    <t>章涵斌</t>
  </si>
  <si>
    <t>应雨洋</t>
  </si>
  <si>
    <t>彭豪</t>
  </si>
  <si>
    <t>晋元鑫</t>
  </si>
  <si>
    <t>饶子康</t>
  </si>
  <si>
    <t>周燚峰</t>
  </si>
  <si>
    <t>鲁益伶</t>
  </si>
  <si>
    <t>王顺尧</t>
  </si>
  <si>
    <t>雷文静</t>
  </si>
  <si>
    <t>周晨风</t>
  </si>
  <si>
    <t>关键</t>
  </si>
  <si>
    <t>人数：29</t>
  </si>
  <si>
    <t>软工2班</t>
  </si>
  <si>
    <t>1810300101</t>
  </si>
  <si>
    <t>崔睿琦</t>
  </si>
  <si>
    <t>1810300107</t>
  </si>
  <si>
    <t>黄轩</t>
  </si>
  <si>
    <t>1810300108</t>
  </si>
  <si>
    <t>罗嘉伟</t>
  </si>
  <si>
    <t>1810300115</t>
  </si>
  <si>
    <t>杨肖</t>
  </si>
  <si>
    <t>1810300217</t>
  </si>
  <si>
    <t>童子威</t>
  </si>
  <si>
    <t>1810300228</t>
  </si>
  <si>
    <t>邓雨欣</t>
  </si>
  <si>
    <t>1810300310</t>
  </si>
  <si>
    <t>顾建林</t>
  </si>
  <si>
    <t>1810300303</t>
  </si>
  <si>
    <t>万正</t>
  </si>
  <si>
    <t>1810300307</t>
  </si>
  <si>
    <t>江金钢</t>
  </si>
  <si>
    <t>1810300416</t>
  </si>
  <si>
    <t>陈頔</t>
  </si>
  <si>
    <t>1810300505</t>
  </si>
  <si>
    <t>李锐康</t>
  </si>
  <si>
    <t>1810300508</t>
  </si>
  <si>
    <t>周志浩</t>
  </si>
  <si>
    <t>1810300526</t>
  </si>
  <si>
    <t>尧楠</t>
  </si>
  <si>
    <t>1810300630</t>
  </si>
  <si>
    <t>程柔</t>
  </si>
  <si>
    <t>1810300714</t>
  </si>
  <si>
    <t>万志豪</t>
  </si>
  <si>
    <t>1810300717</t>
  </si>
  <si>
    <t>何方南</t>
  </si>
  <si>
    <t>1810300718</t>
  </si>
  <si>
    <t>梅佳</t>
  </si>
  <si>
    <t>1810300821</t>
  </si>
  <si>
    <t>刘廷军</t>
  </si>
  <si>
    <t>1810300904</t>
  </si>
  <si>
    <t>于文杰</t>
  </si>
  <si>
    <t>1810300911</t>
  </si>
  <si>
    <t>陈天赐</t>
  </si>
  <si>
    <t>1810300917</t>
  </si>
  <si>
    <t>柯磊</t>
  </si>
  <si>
    <t>1810301003</t>
  </si>
  <si>
    <t>朱嘉辉</t>
  </si>
  <si>
    <t>1810301004</t>
  </si>
  <si>
    <t>刘威</t>
  </si>
  <si>
    <t>1810301024</t>
  </si>
  <si>
    <t>张健华</t>
  </si>
  <si>
    <t>1810301109</t>
  </si>
  <si>
    <t>宋仕铖</t>
  </si>
  <si>
    <t>1810301114</t>
  </si>
  <si>
    <t>成子丘</t>
  </si>
  <si>
    <t>1810301125</t>
  </si>
  <si>
    <t>曾涵彬</t>
  </si>
  <si>
    <t>1810301203</t>
  </si>
  <si>
    <t>王洋</t>
  </si>
  <si>
    <t>1810301211</t>
  </si>
  <si>
    <t>郭全毅</t>
  </si>
  <si>
    <r>
      <rPr>
        <sz val="12"/>
        <rFont val="华文宋体"/>
        <charset val="134"/>
      </rPr>
      <t>1</t>
    </r>
    <r>
      <rPr>
        <sz val="12"/>
        <rFont val="华文宋体"/>
        <charset val="134"/>
      </rPr>
      <t>8软工3班</t>
    </r>
  </si>
  <si>
    <t>1810300210</t>
  </si>
  <si>
    <t>李云龙</t>
  </si>
  <si>
    <t>1810300220</t>
  </si>
  <si>
    <t>何志诚</t>
  </si>
  <si>
    <t>1810300305</t>
  </si>
  <si>
    <t>赵宇航</t>
  </si>
  <si>
    <t>1810300308</t>
  </si>
  <si>
    <t>徐维洁</t>
  </si>
  <si>
    <t>1810300311</t>
  </si>
  <si>
    <t>金祝霄</t>
  </si>
  <si>
    <t>1810300326</t>
  </si>
  <si>
    <t>邹静</t>
  </si>
  <si>
    <t>1810300415</t>
  </si>
  <si>
    <t>余晨</t>
  </si>
  <si>
    <t>1810300419</t>
  </si>
  <si>
    <t>熊杰峰</t>
  </si>
  <si>
    <t>1810300427</t>
  </si>
  <si>
    <t>李晨苑</t>
  </si>
  <si>
    <t>1810300519</t>
  </si>
  <si>
    <t>孔海军</t>
  </si>
  <si>
    <t>1810300601</t>
  </si>
  <si>
    <t>黄江峰</t>
  </si>
  <si>
    <t>1810300604</t>
  </si>
  <si>
    <t>涂宇平</t>
  </si>
  <si>
    <t>1810300607</t>
  </si>
  <si>
    <t>王超</t>
  </si>
  <si>
    <t>1810300723</t>
  </si>
  <si>
    <t>焦彦虎</t>
  </si>
  <si>
    <t>1810300707</t>
  </si>
  <si>
    <t>黄宗敖</t>
  </si>
  <si>
    <t>1810300813</t>
  </si>
  <si>
    <t>肖云帆</t>
  </si>
  <si>
    <t>1810300820</t>
  </si>
  <si>
    <t>赖东</t>
  </si>
  <si>
    <t>1810300913</t>
  </si>
  <si>
    <t>向锋伦</t>
  </si>
  <si>
    <t>1810300915</t>
  </si>
  <si>
    <t>杨青</t>
  </si>
  <si>
    <t>1810301009</t>
  </si>
  <si>
    <t>靳发茂</t>
  </si>
  <si>
    <t>1810301011</t>
  </si>
  <si>
    <t>宋盛杰</t>
  </si>
  <si>
    <t>1810301026</t>
  </si>
  <si>
    <t>樊明月</t>
  </si>
  <si>
    <t>1810301029</t>
  </si>
  <si>
    <t>熊莞婷</t>
  </si>
  <si>
    <t>1810301031</t>
  </si>
  <si>
    <t>陈证竹</t>
  </si>
  <si>
    <t>1810301112</t>
  </si>
  <si>
    <t>胡运帷</t>
  </si>
  <si>
    <t>1810301118</t>
  </si>
  <si>
    <t>陈龙</t>
  </si>
  <si>
    <t>张龙</t>
  </si>
  <si>
    <t>1810301219</t>
  </si>
  <si>
    <t>夏中贤</t>
  </si>
  <si>
    <t>1810100119</t>
  </si>
  <si>
    <t>杨俊杰</t>
  </si>
  <si>
    <r>
      <rPr>
        <sz val="11"/>
        <rFont val="SimSun"/>
        <charset val="134"/>
      </rPr>
      <t>软工4班</t>
    </r>
  </si>
  <si>
    <r>
      <rPr>
        <sz val="11"/>
        <rFont val="SimSun"/>
        <charset val="134"/>
      </rPr>
      <t>胡昆</t>
    </r>
  </si>
  <si>
    <r>
      <rPr>
        <sz val="11"/>
        <rFont val="SimSun"/>
        <charset val="134"/>
      </rPr>
      <t>男</t>
    </r>
  </si>
  <si>
    <r>
      <rPr>
        <sz val="11"/>
        <rFont val="SimSun"/>
        <charset val="134"/>
      </rPr>
      <t>王震</t>
    </r>
  </si>
  <si>
    <r>
      <rPr>
        <sz val="11"/>
        <rFont val="SimSun"/>
        <charset val="134"/>
      </rPr>
      <t>周子琦</t>
    </r>
  </si>
  <si>
    <r>
      <rPr>
        <sz val="11"/>
        <rFont val="SimSun"/>
        <charset val="134"/>
      </rPr>
      <t>巫嘉伟</t>
    </r>
  </si>
  <si>
    <t>秦泽青</t>
  </si>
  <si>
    <r>
      <rPr>
        <sz val="11"/>
        <rFont val="SimSun"/>
        <charset val="134"/>
      </rPr>
      <t>张宇</t>
    </r>
  </si>
  <si>
    <r>
      <rPr>
        <sz val="11"/>
        <rFont val="SimSun"/>
        <charset val="134"/>
      </rPr>
      <t>蔡力</t>
    </r>
  </si>
  <si>
    <r>
      <rPr>
        <sz val="11"/>
        <rFont val="SimSun"/>
        <charset val="134"/>
      </rPr>
      <t>黄文成</t>
    </r>
  </si>
  <si>
    <r>
      <rPr>
        <sz val="11"/>
        <rFont val="SimSun"/>
        <charset val="134"/>
      </rPr>
      <t>危立</t>
    </r>
  </si>
  <si>
    <r>
      <rPr>
        <sz val="11"/>
        <rFont val="SimSun"/>
        <charset val="134"/>
      </rPr>
      <t>罗诗怡</t>
    </r>
  </si>
  <si>
    <r>
      <rPr>
        <sz val="11"/>
        <rFont val="SimSun"/>
        <charset val="134"/>
      </rPr>
      <t>女</t>
    </r>
  </si>
  <si>
    <t>秦祖雯</t>
  </si>
  <si>
    <r>
      <rPr>
        <sz val="11"/>
        <rFont val="SimSun"/>
        <charset val="134"/>
      </rPr>
      <t>鄢心洁</t>
    </r>
  </si>
  <si>
    <t>许世缘</t>
  </si>
  <si>
    <r>
      <rPr>
        <sz val="11"/>
        <rFont val="SimSun"/>
        <charset val="134"/>
      </rPr>
      <t>颜昌旺</t>
    </r>
  </si>
  <si>
    <r>
      <rPr>
        <sz val="11"/>
        <rFont val="SimSun"/>
        <charset val="134"/>
      </rPr>
      <t>陈金圆</t>
    </r>
  </si>
  <si>
    <r>
      <rPr>
        <sz val="11"/>
        <rFont val="SimSun"/>
        <charset val="134"/>
      </rPr>
      <t>南锐</t>
    </r>
  </si>
  <si>
    <t>刘琪</t>
  </si>
  <si>
    <t>刘柯铭</t>
  </si>
  <si>
    <t>王浩宇</t>
  </si>
  <si>
    <t>王万鹏</t>
  </si>
  <si>
    <r>
      <rPr>
        <sz val="11"/>
        <rFont val="SimSun"/>
        <charset val="134"/>
      </rPr>
      <t>姜高航</t>
    </r>
  </si>
  <si>
    <r>
      <rPr>
        <sz val="11"/>
        <rFont val="SimSun"/>
        <charset val="134"/>
      </rPr>
      <t>詹志文</t>
    </r>
  </si>
  <si>
    <r>
      <rPr>
        <sz val="11"/>
        <rFont val="SimSun"/>
        <charset val="134"/>
      </rPr>
      <t>张澳</t>
    </r>
  </si>
  <si>
    <r>
      <rPr>
        <sz val="11"/>
        <rFont val="SimSun"/>
        <charset val="134"/>
      </rPr>
      <t>史宁</t>
    </r>
  </si>
  <si>
    <r>
      <rPr>
        <sz val="11"/>
        <rFont val="SimSun"/>
        <charset val="134"/>
      </rPr>
      <t>杨振宇</t>
    </r>
  </si>
  <si>
    <r>
      <rPr>
        <sz val="11"/>
        <rFont val="SimSun"/>
        <charset val="134"/>
      </rPr>
      <t>熊子豪</t>
    </r>
  </si>
  <si>
    <r>
      <rPr>
        <sz val="11"/>
        <rFont val="SimSun"/>
        <charset val="134"/>
      </rPr>
      <t>梅敏学</t>
    </r>
  </si>
  <si>
    <r>
      <rPr>
        <sz val="11"/>
        <rFont val="SimSun"/>
        <charset val="134"/>
      </rPr>
      <t>李祥</t>
    </r>
  </si>
  <si>
    <r>
      <rPr>
        <sz val="11"/>
        <rFont val="SimSun"/>
        <charset val="134"/>
      </rPr>
      <t>李佳豪</t>
    </r>
  </si>
  <si>
    <r>
      <rPr>
        <sz val="11"/>
        <rFont val="SimSun"/>
        <charset val="134"/>
      </rPr>
      <t>尹文炼</t>
    </r>
  </si>
  <si>
    <t>平时表现</t>
  </si>
  <si>
    <t>18软工5</t>
  </si>
  <si>
    <t>1810300103</t>
  </si>
  <si>
    <t>李正泰</t>
  </si>
  <si>
    <t>1810300104</t>
  </si>
  <si>
    <t>黄子文</t>
  </si>
  <si>
    <t>1610300209</t>
  </si>
  <si>
    <t>聂家明</t>
  </si>
  <si>
    <t>1810300218</t>
  </si>
  <si>
    <t>翟火</t>
  </si>
  <si>
    <t>1810300230</t>
  </si>
  <si>
    <t>周冰冰</t>
  </si>
  <si>
    <t>1810300406</t>
  </si>
  <si>
    <t>石祖康</t>
  </si>
  <si>
    <t>1810300429</t>
  </si>
  <si>
    <t>黄芝同</t>
  </si>
  <si>
    <t>1810300603</t>
  </si>
  <si>
    <t>陈新焱</t>
  </si>
  <si>
    <t>1810300609</t>
  </si>
  <si>
    <t>肖鸿浩</t>
  </si>
  <si>
    <t>1810300621</t>
  </si>
  <si>
    <t>饶邦杰</t>
  </si>
  <si>
    <t>1810300712</t>
  </si>
  <si>
    <t>叶子康</t>
  </si>
  <si>
    <t>1810300716</t>
  </si>
  <si>
    <t>王恒</t>
  </si>
  <si>
    <t>1810300802</t>
  </si>
  <si>
    <t>付豪</t>
  </si>
  <si>
    <t>1810300803</t>
  </si>
  <si>
    <t>魏樊</t>
  </si>
  <si>
    <t>1810300808</t>
  </si>
  <si>
    <t>吴晨光</t>
  </si>
  <si>
    <t>1810300810</t>
  </si>
  <si>
    <t>王朝京</t>
  </si>
  <si>
    <t>1810300812</t>
  </si>
  <si>
    <t>李齐锋</t>
  </si>
  <si>
    <t>1810300828</t>
  </si>
  <si>
    <t>胡千怡</t>
  </si>
  <si>
    <t>1810301006</t>
  </si>
  <si>
    <t>余志豪</t>
  </si>
  <si>
    <t>1810301010</t>
  </si>
  <si>
    <t>晏文龙</t>
  </si>
  <si>
    <t>1810301016</t>
  </si>
  <si>
    <t>文浩</t>
  </si>
  <si>
    <t>1810301030</t>
  </si>
  <si>
    <t>朱如君</t>
  </si>
  <si>
    <t>1810301101</t>
  </si>
  <si>
    <t>李保洋</t>
  </si>
  <si>
    <t>1810301116</t>
  </si>
  <si>
    <t>张正焕</t>
  </si>
  <si>
    <t>1810301208</t>
  </si>
  <si>
    <t>曹锦涛</t>
  </si>
  <si>
    <t>1810301216</t>
  </si>
  <si>
    <t>郑中奇</t>
  </si>
  <si>
    <t>1810301220</t>
  </si>
  <si>
    <t>许炎炎</t>
  </si>
  <si>
    <t>1810600308</t>
  </si>
  <si>
    <t>王凯</t>
  </si>
  <si>
    <t>1810851133</t>
  </si>
  <si>
    <t>张琼月</t>
  </si>
  <si>
    <t>人数：28</t>
  </si>
  <si>
    <t>答辩成绩</t>
  </si>
  <si>
    <t>报告成绩</t>
  </si>
  <si>
    <t>最终成绩</t>
  </si>
  <si>
    <t>许旻阳</t>
  </si>
  <si>
    <t>留级</t>
  </si>
  <si>
    <t>王伟</t>
  </si>
  <si>
    <t>休学</t>
  </si>
  <si>
    <t>刘宇冲</t>
  </si>
  <si>
    <t>陶家和</t>
  </si>
  <si>
    <t>18软工2班</t>
  </si>
  <si>
    <t>1710631112</t>
  </si>
  <si>
    <t>刘龙彬</t>
  </si>
  <si>
    <t>18软件3班</t>
  </si>
  <si>
    <t>答辩记录表太简单</t>
  </si>
  <si>
    <t>1810300418</t>
  </si>
  <si>
    <t>吴智勇</t>
  </si>
  <si>
    <t>1810300514</t>
  </si>
  <si>
    <t>王康</t>
  </si>
  <si>
    <t>无材料，没答辩</t>
  </si>
  <si>
    <t>缺答辩表，成绩表，没答辩</t>
  </si>
  <si>
    <t>1810301122</t>
  </si>
  <si>
    <t>杨洪霄</t>
  </si>
  <si>
    <t>罗诗怡</t>
  </si>
  <si>
    <t>住院</t>
  </si>
  <si>
    <t>卡玛丽亚</t>
  </si>
  <si>
    <t>修学</t>
  </si>
  <si>
    <t>秦泽青、李祥、张宇、史宁、刘琪、（5班：）张正焕</t>
  </si>
  <si>
    <t>18软工5班</t>
  </si>
  <si>
    <t>1810300704</t>
  </si>
  <si>
    <t>但志恒</t>
  </si>
  <si>
    <t>没交材料，没答辩</t>
  </si>
  <si>
    <t>146-5</t>
  </si>
  <si>
    <t>147-6</t>
  </si>
  <si>
    <t>有成绩的人：</t>
  </si>
  <si>
    <t>软件项目管理</t>
  </si>
  <si>
    <t>教师： 雷光波-主讲</t>
  </si>
  <si>
    <t>2021.6.20</t>
  </si>
  <si>
    <t>日期：2021.6.20</t>
  </si>
  <si>
    <t>人数：30</t>
  </si>
  <si>
    <t xml:space="preserve">课程名：软件项目管理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</si>
</sst>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 "/>
    <numFmt numFmtId="179" formatCode="0.0%"/>
  </numFmts>
  <fonts count="1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华文宋体"/>
      <charset val="134"/>
    </font>
    <font>
      <sz val="12"/>
      <name val="华文宋体"/>
      <charset val="134"/>
    </font>
    <font>
      <sz val="11"/>
      <name val="华文宋体"/>
      <charset val="134"/>
    </font>
    <font>
      <sz val="11"/>
      <name val="宋体"/>
      <charset val="134"/>
    </font>
    <font>
      <b/>
      <sz val="12"/>
      <name val="华文宋体"/>
      <charset val="134"/>
    </font>
    <font>
      <i/>
      <sz val="11"/>
      <color indexed="8"/>
      <name val="华文宋体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  <scheme val="minor"/>
    </font>
    <font>
      <sz val="10"/>
      <name val="华文宋体"/>
      <charset val="134"/>
    </font>
    <font>
      <sz val="11"/>
      <name val="SimSun"/>
      <charset val="134"/>
    </font>
    <font>
      <sz val="11"/>
      <color rgb="FF000000"/>
      <name val="SimSun"/>
      <charset val="134"/>
    </font>
    <font>
      <sz val="12"/>
      <color rgb="FFFF0000"/>
      <name val="华文宋体"/>
      <charset val="134"/>
    </font>
    <font>
      <sz val="12"/>
      <color indexed="8"/>
      <name val="华文宋体"/>
      <charset val="134"/>
    </font>
    <font>
      <sz val="9"/>
      <color rgb="FF000000"/>
      <name val="仿宋"/>
      <charset val="134"/>
    </font>
    <font>
      <sz val="12"/>
      <color theme="1"/>
      <name val="宋体"/>
      <charset val="134"/>
    </font>
    <font>
      <sz val="11"/>
      <color theme="1"/>
      <name val="华文宋体"/>
      <charset val="134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177" fontId="3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1" fontId="12" fillId="0" borderId="4" xfId="0" applyNumberFormat="1" applyFont="1" applyFill="1" applyBorder="1" applyAlignment="1">
      <alignment horizontal="center" vertical="center" shrinkToFit="1"/>
    </xf>
    <xf numFmtId="0" fontId="1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177" fontId="3" fillId="0" borderId="6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center" vertical="center" wrapText="1"/>
    </xf>
    <xf numFmtId="177" fontId="3" fillId="5" borderId="6" xfId="0" applyNumberFormat="1" applyFont="1" applyFill="1" applyBorder="1" applyAlignment="1">
      <alignment horizontal="center" vertical="center"/>
    </xf>
    <xf numFmtId="177" fontId="3" fillId="6" borderId="6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6" fillId="2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0" fillId="2" borderId="0" xfId="0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vertical="center" wrapText="1"/>
    </xf>
    <xf numFmtId="0" fontId="6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</cellXfs>
  <cellStyles count="1">
    <cellStyle name="常规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"/>
  <sheetViews>
    <sheetView tabSelected="1" zoomScale="85" zoomScaleNormal="85" workbookViewId="0">
      <selection activeCell="AD4" sqref="AD4"/>
    </sheetView>
  </sheetViews>
  <sheetFormatPr defaultColWidth="10" defaultRowHeight="14.25"/>
  <cols>
    <col min="1" max="1" width="10" style="1"/>
    <col min="2" max="2" width="11.375" style="1" customWidth="1"/>
    <col min="3" max="3" width="8.375" style="1" customWidth="1"/>
    <col min="4" max="4" width="4.75" style="1" customWidth="1"/>
    <col min="5" max="8" width="10.75" style="1" customWidth="1"/>
    <col min="9" max="14" width="7.375" style="1" customWidth="1"/>
    <col min="15" max="17" width="7.375" style="2" customWidth="1"/>
    <col min="18" max="20" width="7.375" style="1" customWidth="1"/>
    <col min="21" max="23" width="7.375" style="2" customWidth="1"/>
    <col min="24" max="27" width="7.375" style="1" customWidth="1"/>
    <col min="28" max="28" width="10.125" style="1" customWidth="1"/>
    <col min="29" max="16384" width="10" style="1"/>
  </cols>
  <sheetData>
    <row r="1" spans="1:28" ht="16.5">
      <c r="A1" s="74" t="s">
        <v>0</v>
      </c>
      <c r="B1" s="75"/>
      <c r="C1" s="57"/>
      <c r="D1" s="57"/>
      <c r="E1" s="76" t="s">
        <v>25</v>
      </c>
      <c r="F1" s="59"/>
      <c r="G1" s="59"/>
      <c r="H1" s="59"/>
      <c r="I1" s="74" t="s">
        <v>26</v>
      </c>
      <c r="J1" s="74"/>
      <c r="K1" s="74"/>
      <c r="L1" s="74"/>
      <c r="M1" s="74"/>
      <c r="N1" s="74"/>
      <c r="O1" s="1"/>
      <c r="P1" s="1"/>
      <c r="Q1" s="1"/>
      <c r="AA1" s="3"/>
    </row>
    <row r="2" spans="1:28" ht="17.25">
      <c r="A2" s="60" t="s">
        <v>4</v>
      </c>
      <c r="B2" s="61"/>
      <c r="C2" s="57"/>
      <c r="D2" s="57"/>
      <c r="E2" s="69" t="s">
        <v>6</v>
      </c>
      <c r="F2" s="70"/>
      <c r="G2" s="70"/>
      <c r="H2" s="70"/>
      <c r="I2" s="72" t="s">
        <v>7</v>
      </c>
      <c r="J2" s="72"/>
      <c r="K2" s="72"/>
      <c r="L2" s="72"/>
      <c r="M2" s="73"/>
      <c r="N2" s="73"/>
      <c r="O2" s="1"/>
      <c r="P2" s="1"/>
      <c r="Q2" s="1"/>
      <c r="AA2" s="3"/>
    </row>
    <row r="3" spans="1:28" ht="17.25">
      <c r="A3" s="62" t="s">
        <v>8</v>
      </c>
      <c r="B3" s="61"/>
      <c r="C3" s="3"/>
      <c r="D3" s="17"/>
      <c r="E3" s="71"/>
      <c r="F3" s="71"/>
      <c r="G3" s="71"/>
      <c r="H3" s="71"/>
      <c r="I3" s="73"/>
      <c r="J3" s="73"/>
      <c r="K3" s="73"/>
      <c r="L3" s="73"/>
      <c r="M3" s="73"/>
      <c r="N3" s="73"/>
      <c r="O3" s="1"/>
      <c r="P3" s="1"/>
      <c r="Q3" s="1"/>
      <c r="AA3" s="3"/>
    </row>
    <row r="4" spans="1:28" ht="33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 t="s">
        <v>33</v>
      </c>
      <c r="P4" s="1"/>
      <c r="Q4" s="1"/>
      <c r="U4" s="1"/>
      <c r="X4" s="2"/>
      <c r="AB4" s="65" t="s">
        <v>11</v>
      </c>
    </row>
    <row r="5" spans="1:28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12"/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2" t="s">
        <v>43</v>
      </c>
      <c r="W5" s="2" t="s">
        <v>44</v>
      </c>
      <c r="X5" s="2" t="s">
        <v>45</v>
      </c>
      <c r="Y5" s="1" t="s">
        <v>46</v>
      </c>
      <c r="Z5" s="1" t="s">
        <v>47</v>
      </c>
      <c r="AA5" s="1" t="s">
        <v>17</v>
      </c>
      <c r="AB5" s="66"/>
    </row>
    <row r="6" spans="1:28">
      <c r="O6" s="1"/>
      <c r="P6" s="1"/>
      <c r="Q6" s="1"/>
      <c r="Z6"/>
      <c r="AA6"/>
      <c r="AB6"/>
    </row>
    <row r="7" spans="1:28">
      <c r="O7" s="1"/>
      <c r="P7" s="1"/>
      <c r="Q7" s="1"/>
    </row>
    <row r="8" spans="1:28">
      <c r="O8" s="1"/>
      <c r="P8" s="1"/>
      <c r="Q8" s="1"/>
    </row>
    <row r="9" spans="1:28">
      <c r="O9" s="1"/>
      <c r="P9" s="1"/>
      <c r="Q9" s="1"/>
    </row>
    <row r="10" spans="1:28">
      <c r="O10" s="1"/>
      <c r="P10" s="1"/>
      <c r="Q10" s="1"/>
    </row>
    <row r="11" spans="1:28">
      <c r="O11" s="1"/>
      <c r="P11" s="1"/>
      <c r="Q11" s="1"/>
    </row>
    <row r="12" spans="1:28">
      <c r="O12" s="1"/>
      <c r="P12" s="1"/>
      <c r="Q12" s="1"/>
    </row>
    <row r="13" spans="1:28">
      <c r="O13" s="1"/>
      <c r="P13" s="1"/>
      <c r="Q13" s="1"/>
    </row>
    <row r="14" spans="1:28">
      <c r="O14" s="1"/>
      <c r="P14" s="1"/>
      <c r="Q14" s="1"/>
    </row>
    <row r="15" spans="1:28">
      <c r="O15" s="1"/>
      <c r="P15" s="1"/>
      <c r="Q15" s="1"/>
    </row>
    <row r="16" spans="1:28">
      <c r="O16" s="1"/>
      <c r="P16" s="1"/>
      <c r="Q16" s="1"/>
    </row>
    <row r="17" spans="15:17">
      <c r="O17" s="1"/>
      <c r="P17" s="1"/>
      <c r="Q17" s="1"/>
    </row>
    <row r="18" spans="15:17">
      <c r="O18" s="1"/>
      <c r="P18" s="1"/>
      <c r="Q18" s="1"/>
    </row>
    <row r="19" spans="15:17">
      <c r="O19" s="1"/>
      <c r="P19" s="1"/>
      <c r="Q19" s="1"/>
    </row>
  </sheetData>
  <mergeCells count="14">
    <mergeCell ref="AB4:AB5"/>
    <mergeCell ref="E2:H3"/>
    <mergeCell ref="I2:N3"/>
    <mergeCell ref="A3:B3"/>
    <mergeCell ref="A4:A5"/>
    <mergeCell ref="B4:B5"/>
    <mergeCell ref="C4:C5"/>
    <mergeCell ref="D4:D5"/>
    <mergeCell ref="A1:B1"/>
    <mergeCell ref="C1:D1"/>
    <mergeCell ref="E1:H1"/>
    <mergeCell ref="I1:N1"/>
    <mergeCell ref="A2:B2"/>
    <mergeCell ref="C2:D2"/>
  </mergeCells>
  <phoneticPr fontId="18" type="noConversion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zoomScale="70" zoomScaleNormal="70" workbookViewId="0">
      <selection sqref="A1:P34"/>
    </sheetView>
  </sheetViews>
  <sheetFormatPr defaultColWidth="10" defaultRowHeight="14.25"/>
  <cols>
    <col min="1" max="1" width="10" style="1"/>
    <col min="2" max="2" width="14.875" style="1" customWidth="1"/>
    <col min="3" max="3" width="6.5" style="1" customWidth="1"/>
    <col min="4" max="8" width="10" style="1"/>
    <col min="9" max="9" width="12.625" style="1"/>
    <col min="10" max="12" width="8.375" style="2" customWidth="1"/>
    <col min="13" max="16" width="8.375" style="1" customWidth="1"/>
    <col min="17" max="19" width="8.375" style="52" customWidth="1"/>
    <col min="20" max="20" width="8.375" style="54" customWidth="1"/>
    <col min="21" max="21" width="8.375" style="15" customWidth="1"/>
    <col min="22" max="22" width="8.375" style="53" customWidth="1"/>
    <col min="23" max="25" width="8.375" style="52" customWidth="1"/>
    <col min="26" max="29" width="8.375" style="1" customWidth="1"/>
    <col min="30" max="16384" width="10" style="1"/>
  </cols>
  <sheetData>
    <row r="1" spans="1:31" ht="33">
      <c r="A1" s="55" t="s">
        <v>0</v>
      </c>
      <c r="B1" s="56"/>
      <c r="C1" s="4"/>
      <c r="D1" s="55" t="s">
        <v>1</v>
      </c>
      <c r="E1" s="57"/>
      <c r="F1" s="57"/>
      <c r="G1" s="58" t="s">
        <v>2</v>
      </c>
      <c r="H1" s="59"/>
      <c r="I1" s="59"/>
      <c r="J1" s="77"/>
      <c r="K1" s="78" t="s">
        <v>3</v>
      </c>
      <c r="L1" s="78"/>
      <c r="M1" s="55"/>
      <c r="AC1" s="3" t="s">
        <v>1</v>
      </c>
    </row>
    <row r="2" spans="1:31" ht="17.25">
      <c r="A2" s="60" t="s">
        <v>4</v>
      </c>
      <c r="B2" s="61"/>
      <c r="C2" s="16"/>
      <c r="D2" s="55" t="s">
        <v>79</v>
      </c>
      <c r="E2" s="57"/>
      <c r="F2" s="57"/>
      <c r="G2" s="69" t="s">
        <v>6</v>
      </c>
      <c r="H2" s="70"/>
      <c r="I2" s="70"/>
      <c r="J2" s="81"/>
      <c r="K2" s="83" t="s">
        <v>7</v>
      </c>
      <c r="L2" s="84"/>
      <c r="M2" s="73"/>
      <c r="AC2" s="3" t="s">
        <v>79</v>
      </c>
    </row>
    <row r="3" spans="1:31" ht="17.25">
      <c r="A3" s="62" t="s">
        <v>8</v>
      </c>
      <c r="B3" s="61"/>
      <c r="C3" s="16"/>
      <c r="D3" s="3"/>
      <c r="E3" s="3"/>
      <c r="F3" s="17"/>
      <c r="G3" s="71"/>
      <c r="H3" s="71"/>
      <c r="I3" s="71"/>
      <c r="J3" s="82"/>
      <c r="K3" s="84"/>
      <c r="L3" s="84"/>
      <c r="M3" s="73"/>
      <c r="AC3" s="3"/>
    </row>
    <row r="4" spans="1:31" ht="33">
      <c r="A4" s="63" t="s">
        <v>9</v>
      </c>
      <c r="B4" s="65" t="s">
        <v>10</v>
      </c>
      <c r="C4" s="6"/>
      <c r="D4" s="65" t="s">
        <v>11</v>
      </c>
      <c r="E4" s="65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25" t="s">
        <v>27</v>
      </c>
      <c r="K4" s="25" t="s">
        <v>28</v>
      </c>
      <c r="L4" s="25" t="s">
        <v>29</v>
      </c>
      <c r="M4" s="6" t="s">
        <v>30</v>
      </c>
      <c r="N4" s="6" t="s">
        <v>31</v>
      </c>
      <c r="O4" s="6" t="s">
        <v>32</v>
      </c>
      <c r="P4" s="79" t="s">
        <v>33</v>
      </c>
      <c r="AC4" s="65" t="s">
        <v>11</v>
      </c>
    </row>
    <row r="5" spans="1:31" ht="16.5">
      <c r="A5" s="64"/>
      <c r="B5" s="66"/>
      <c r="C5" s="8"/>
      <c r="D5" s="66"/>
      <c r="E5" s="67"/>
      <c r="F5" s="10" t="s">
        <v>18</v>
      </c>
      <c r="G5" s="10" t="s">
        <v>19</v>
      </c>
      <c r="H5" s="10" t="s">
        <v>20</v>
      </c>
      <c r="I5" s="10" t="s">
        <v>21</v>
      </c>
      <c r="J5" s="37" t="s">
        <v>22</v>
      </c>
      <c r="K5" s="37" t="s">
        <v>23</v>
      </c>
      <c r="L5" s="37" t="s">
        <v>24</v>
      </c>
      <c r="M5" s="10" t="s">
        <v>34</v>
      </c>
      <c r="N5" s="10" t="s">
        <v>35</v>
      </c>
      <c r="O5" s="10" t="s">
        <v>36</v>
      </c>
      <c r="P5" s="80"/>
      <c r="Q5" s="52" t="s">
        <v>37</v>
      </c>
      <c r="R5" s="52" t="s">
        <v>38</v>
      </c>
      <c r="S5" s="52" t="s">
        <v>39</v>
      </c>
      <c r="T5" s="54" t="s">
        <v>40</v>
      </c>
      <c r="U5" s="15" t="s">
        <v>41</v>
      </c>
      <c r="V5" s="53" t="s">
        <v>42</v>
      </c>
      <c r="W5" s="52" t="s">
        <v>43</v>
      </c>
      <c r="X5" s="52" t="s">
        <v>44</v>
      </c>
      <c r="Y5" s="52" t="s">
        <v>45</v>
      </c>
      <c r="Z5" s="1" t="s">
        <v>46</v>
      </c>
      <c r="AA5" s="1" t="s">
        <v>47</v>
      </c>
      <c r="AB5" s="1" t="s">
        <v>17</v>
      </c>
      <c r="AC5" s="66"/>
    </row>
    <row r="6" spans="1:31" ht="17.100000000000001" customHeight="1">
      <c r="A6" s="7" t="s">
        <v>80</v>
      </c>
      <c r="B6" s="7" t="s">
        <v>81</v>
      </c>
      <c r="C6" s="7">
        <v>1</v>
      </c>
      <c r="D6" s="7" t="s">
        <v>82</v>
      </c>
      <c r="E6" s="7" t="s">
        <v>50</v>
      </c>
      <c r="F6" s="7">
        <v>75</v>
      </c>
      <c r="G6" s="7">
        <v>75</v>
      </c>
      <c r="H6" s="7">
        <v>70</v>
      </c>
      <c r="I6" s="7">
        <v>75</v>
      </c>
      <c r="J6" s="26">
        <v>95</v>
      </c>
      <c r="K6" s="26">
        <v>95</v>
      </c>
      <c r="L6" s="26">
        <v>95</v>
      </c>
      <c r="M6" s="7">
        <v>100</v>
      </c>
      <c r="N6" s="7">
        <v>100</v>
      </c>
      <c r="O6" s="7">
        <v>100</v>
      </c>
      <c r="P6" s="38">
        <f t="shared" ref="P6:P34" si="0">(AVERAGE(F6:I6)+AVERAGE(J6:L6)+AVERAGE(M6:O6))/3</f>
        <v>89.583333333333329</v>
      </c>
      <c r="Q6" s="38">
        <v>16</v>
      </c>
      <c r="R6" s="38">
        <v>5</v>
      </c>
      <c r="S6" s="38">
        <v>9</v>
      </c>
      <c r="T6" s="38">
        <v>10</v>
      </c>
      <c r="U6" s="38">
        <v>2</v>
      </c>
      <c r="V6" s="38">
        <v>0</v>
      </c>
      <c r="W6" s="38">
        <v>0</v>
      </c>
      <c r="X6" s="38">
        <v>6</v>
      </c>
      <c r="Y6" s="38">
        <v>5</v>
      </c>
      <c r="Z6" s="41">
        <f t="shared" ref="Z6:Z34" si="1">SUM(Q6:Y6)</f>
        <v>53</v>
      </c>
      <c r="AA6" s="38">
        <f t="shared" ref="AA6:AA34" si="2">P6</f>
        <v>89.583333333333329</v>
      </c>
      <c r="AB6" s="42">
        <f t="shared" ref="AB6:AB34" si="3">Z6*0.7+AA6*0.3</f>
        <v>63.974999999999994</v>
      </c>
      <c r="AC6" s="38" t="s">
        <v>82</v>
      </c>
      <c r="AD6" s="43"/>
      <c r="AE6" s="43"/>
    </row>
    <row r="7" spans="1:31" ht="17.100000000000001" customHeight="1">
      <c r="A7" s="7" t="s">
        <v>80</v>
      </c>
      <c r="B7" s="7" t="s">
        <v>83</v>
      </c>
      <c r="C7" s="7">
        <v>2</v>
      </c>
      <c r="D7" s="7" t="s">
        <v>84</v>
      </c>
      <c r="E7" s="7" t="s">
        <v>50</v>
      </c>
      <c r="F7" s="7">
        <v>100</v>
      </c>
      <c r="G7" s="7">
        <v>100</v>
      </c>
      <c r="H7" s="7">
        <v>100</v>
      </c>
      <c r="I7" s="7">
        <v>100</v>
      </c>
      <c r="J7" s="26">
        <v>100</v>
      </c>
      <c r="K7" s="26">
        <v>95</v>
      </c>
      <c r="L7" s="26">
        <v>95</v>
      </c>
      <c r="M7" s="7">
        <v>100</v>
      </c>
      <c r="N7" s="7">
        <v>100</v>
      </c>
      <c r="O7" s="7">
        <v>100</v>
      </c>
      <c r="P7" s="38">
        <f t="shared" si="0"/>
        <v>98.8888888888889</v>
      </c>
      <c r="Q7" s="38">
        <v>16</v>
      </c>
      <c r="R7" s="38">
        <v>6</v>
      </c>
      <c r="S7" s="38">
        <v>10</v>
      </c>
      <c r="T7" s="38">
        <v>10</v>
      </c>
      <c r="U7" s="38">
        <v>6</v>
      </c>
      <c r="V7" s="38">
        <v>8</v>
      </c>
      <c r="W7" s="38">
        <v>8</v>
      </c>
      <c r="X7" s="38">
        <v>10</v>
      </c>
      <c r="Y7" s="38">
        <v>7</v>
      </c>
      <c r="Z7" s="41">
        <f t="shared" si="1"/>
        <v>81</v>
      </c>
      <c r="AA7" s="38">
        <f t="shared" si="2"/>
        <v>98.8888888888889</v>
      </c>
      <c r="AB7" s="42">
        <f t="shared" si="3"/>
        <v>86.36666666666666</v>
      </c>
      <c r="AC7" s="38" t="s">
        <v>84</v>
      </c>
      <c r="AD7" s="43"/>
      <c r="AE7" s="43"/>
    </row>
    <row r="8" spans="1:31" ht="17.100000000000001" customHeight="1">
      <c r="A8" s="7" t="s">
        <v>80</v>
      </c>
      <c r="B8" s="7" t="s">
        <v>85</v>
      </c>
      <c r="C8" s="7">
        <v>3</v>
      </c>
      <c r="D8" s="7" t="s">
        <v>86</v>
      </c>
      <c r="E8" s="7" t="s">
        <v>50</v>
      </c>
      <c r="F8" s="7">
        <v>95</v>
      </c>
      <c r="G8" s="7">
        <v>90</v>
      </c>
      <c r="H8" s="7">
        <v>95</v>
      </c>
      <c r="I8" s="7">
        <v>95</v>
      </c>
      <c r="J8" s="26">
        <v>95</v>
      </c>
      <c r="K8" s="26">
        <v>95</v>
      </c>
      <c r="L8" s="26">
        <v>95</v>
      </c>
      <c r="M8" s="7">
        <v>100</v>
      </c>
      <c r="N8" s="7">
        <v>100</v>
      </c>
      <c r="O8" s="7">
        <v>100</v>
      </c>
      <c r="P8" s="38">
        <f t="shared" si="0"/>
        <v>96.25</v>
      </c>
      <c r="Q8" s="38">
        <v>16</v>
      </c>
      <c r="R8" s="38">
        <v>8</v>
      </c>
      <c r="S8" s="38">
        <v>10</v>
      </c>
      <c r="T8" s="38">
        <v>10</v>
      </c>
      <c r="U8" s="38">
        <v>2</v>
      </c>
      <c r="V8" s="38">
        <v>4</v>
      </c>
      <c r="W8" s="38">
        <v>6</v>
      </c>
      <c r="X8" s="38">
        <v>6</v>
      </c>
      <c r="Y8" s="38">
        <v>8</v>
      </c>
      <c r="Z8" s="41">
        <f t="shared" si="1"/>
        <v>70</v>
      </c>
      <c r="AA8" s="38">
        <f t="shared" si="2"/>
        <v>96.25</v>
      </c>
      <c r="AB8" s="42">
        <f t="shared" si="3"/>
        <v>77.875</v>
      </c>
      <c r="AC8" s="38" t="s">
        <v>86</v>
      </c>
      <c r="AD8" s="43"/>
      <c r="AE8" s="43"/>
    </row>
    <row r="9" spans="1:31" ht="17.100000000000001" customHeight="1">
      <c r="A9" s="7" t="s">
        <v>80</v>
      </c>
      <c r="B9" s="7" t="s">
        <v>87</v>
      </c>
      <c r="C9" s="7">
        <v>4</v>
      </c>
      <c r="D9" s="7" t="s">
        <v>88</v>
      </c>
      <c r="E9" s="7" t="s">
        <v>50</v>
      </c>
      <c r="F9" s="7">
        <v>100</v>
      </c>
      <c r="G9" s="7">
        <v>100</v>
      </c>
      <c r="H9" s="7">
        <v>100</v>
      </c>
      <c r="I9" s="7">
        <v>100</v>
      </c>
      <c r="J9" s="26">
        <v>95</v>
      </c>
      <c r="K9" s="26">
        <v>95</v>
      </c>
      <c r="L9" s="26">
        <v>95</v>
      </c>
      <c r="M9" s="7">
        <v>100</v>
      </c>
      <c r="N9" s="7">
        <v>100</v>
      </c>
      <c r="O9" s="7">
        <v>100</v>
      </c>
      <c r="P9" s="38">
        <f t="shared" si="0"/>
        <v>98.333333333333329</v>
      </c>
      <c r="Q9" s="38">
        <v>16</v>
      </c>
      <c r="R9" s="38">
        <v>8</v>
      </c>
      <c r="S9" s="38">
        <v>9</v>
      </c>
      <c r="T9" s="38">
        <v>6</v>
      </c>
      <c r="U9" s="38">
        <v>4</v>
      </c>
      <c r="V9" s="38">
        <v>0</v>
      </c>
      <c r="W9" s="38">
        <v>6</v>
      </c>
      <c r="X9" s="38">
        <v>4</v>
      </c>
      <c r="Y9" s="38">
        <v>3</v>
      </c>
      <c r="Z9" s="41">
        <f t="shared" si="1"/>
        <v>56</v>
      </c>
      <c r="AA9" s="38">
        <f t="shared" si="2"/>
        <v>98.333333333333329</v>
      </c>
      <c r="AB9" s="42">
        <f t="shared" si="3"/>
        <v>68.699999999999989</v>
      </c>
      <c r="AC9" s="38" t="s">
        <v>88</v>
      </c>
      <c r="AD9" s="43"/>
      <c r="AE9" s="43"/>
    </row>
    <row r="10" spans="1:31" ht="17.100000000000001" customHeight="1">
      <c r="A10" s="7" t="s">
        <v>80</v>
      </c>
      <c r="B10" s="7" t="s">
        <v>89</v>
      </c>
      <c r="C10" s="7">
        <v>5</v>
      </c>
      <c r="D10" s="7" t="s">
        <v>90</v>
      </c>
      <c r="E10" s="7" t="s">
        <v>50</v>
      </c>
      <c r="F10" s="7">
        <v>80</v>
      </c>
      <c r="G10" s="7">
        <v>80</v>
      </c>
      <c r="H10" s="7">
        <v>85</v>
      </c>
      <c r="I10" s="7">
        <v>80</v>
      </c>
      <c r="J10" s="26">
        <v>100</v>
      </c>
      <c r="K10" s="26">
        <v>95</v>
      </c>
      <c r="L10" s="26">
        <v>95</v>
      </c>
      <c r="M10" s="7">
        <v>100</v>
      </c>
      <c r="N10" s="7">
        <v>90</v>
      </c>
      <c r="O10" s="7">
        <v>90</v>
      </c>
      <c r="P10" s="38">
        <f t="shared" si="0"/>
        <v>90.416666666666671</v>
      </c>
      <c r="Q10" s="38">
        <v>12</v>
      </c>
      <c r="R10" s="38">
        <v>5</v>
      </c>
      <c r="S10" s="38">
        <v>9</v>
      </c>
      <c r="T10" s="38">
        <v>0</v>
      </c>
      <c r="U10" s="38">
        <v>4</v>
      </c>
      <c r="V10" s="38">
        <v>2</v>
      </c>
      <c r="W10" s="38">
        <v>3</v>
      </c>
      <c r="X10" s="38">
        <v>1</v>
      </c>
      <c r="Y10" s="38">
        <v>3</v>
      </c>
      <c r="Z10" s="41">
        <f t="shared" si="1"/>
        <v>39</v>
      </c>
      <c r="AA10" s="38">
        <f t="shared" si="2"/>
        <v>90.416666666666671</v>
      </c>
      <c r="AB10" s="42">
        <f t="shared" si="3"/>
        <v>54.424999999999997</v>
      </c>
      <c r="AC10" s="38" t="s">
        <v>90</v>
      </c>
      <c r="AD10" s="43"/>
      <c r="AE10" s="43"/>
    </row>
    <row r="11" spans="1:31" ht="17.100000000000001" customHeight="1">
      <c r="A11" s="7" t="s">
        <v>80</v>
      </c>
      <c r="B11" s="7" t="s">
        <v>91</v>
      </c>
      <c r="C11" s="7">
        <v>6</v>
      </c>
      <c r="D11" s="7" t="s">
        <v>92</v>
      </c>
      <c r="E11" s="7" t="s">
        <v>52</v>
      </c>
      <c r="F11" s="7">
        <v>100</v>
      </c>
      <c r="G11" s="7">
        <v>100</v>
      </c>
      <c r="H11" s="7">
        <v>100</v>
      </c>
      <c r="I11" s="7">
        <v>100</v>
      </c>
      <c r="J11" s="26">
        <v>100</v>
      </c>
      <c r="K11" s="26">
        <v>100</v>
      </c>
      <c r="L11" s="26">
        <v>100</v>
      </c>
      <c r="M11" s="7">
        <v>100</v>
      </c>
      <c r="N11" s="7">
        <v>100</v>
      </c>
      <c r="O11" s="7">
        <v>100</v>
      </c>
      <c r="P11" s="38">
        <f t="shared" si="0"/>
        <v>100</v>
      </c>
      <c r="Q11" s="38">
        <v>20</v>
      </c>
      <c r="R11" s="38">
        <v>9</v>
      </c>
      <c r="S11" s="38">
        <v>10</v>
      </c>
      <c r="T11" s="38">
        <v>10</v>
      </c>
      <c r="U11" s="38">
        <v>10</v>
      </c>
      <c r="V11" s="38">
        <v>10</v>
      </c>
      <c r="W11" s="38">
        <v>10</v>
      </c>
      <c r="X11" s="38">
        <v>6</v>
      </c>
      <c r="Y11" s="38">
        <v>9</v>
      </c>
      <c r="Z11" s="41">
        <f t="shared" si="1"/>
        <v>94</v>
      </c>
      <c r="AA11" s="38">
        <f t="shared" si="2"/>
        <v>100</v>
      </c>
      <c r="AB11" s="42">
        <f t="shared" si="3"/>
        <v>95.8</v>
      </c>
      <c r="AC11" s="38" t="s">
        <v>92</v>
      </c>
      <c r="AD11" s="43"/>
      <c r="AE11" s="43"/>
    </row>
    <row r="12" spans="1:31" ht="17.100000000000001" customHeight="1">
      <c r="A12" s="7" t="s">
        <v>80</v>
      </c>
      <c r="B12" s="7" t="s">
        <v>93</v>
      </c>
      <c r="C12" s="7">
        <v>7</v>
      </c>
      <c r="D12" s="7" t="s">
        <v>94</v>
      </c>
      <c r="E12" s="7" t="s">
        <v>50</v>
      </c>
      <c r="F12" s="7">
        <v>95</v>
      </c>
      <c r="G12" s="7">
        <v>90</v>
      </c>
      <c r="H12" s="7">
        <v>90</v>
      </c>
      <c r="I12" s="7">
        <v>90</v>
      </c>
      <c r="J12" s="26">
        <v>95</v>
      </c>
      <c r="K12" s="26">
        <v>95</v>
      </c>
      <c r="L12" s="26">
        <v>95</v>
      </c>
      <c r="M12" s="7">
        <v>100</v>
      </c>
      <c r="N12" s="7">
        <v>100</v>
      </c>
      <c r="O12" s="7">
        <v>100</v>
      </c>
      <c r="P12" s="38">
        <f t="shared" si="0"/>
        <v>95.416666666666671</v>
      </c>
      <c r="Q12" s="38">
        <v>20</v>
      </c>
      <c r="R12" s="38">
        <v>8</v>
      </c>
      <c r="S12" s="38">
        <v>9</v>
      </c>
      <c r="T12" s="38">
        <v>10</v>
      </c>
      <c r="U12" s="38">
        <v>4</v>
      </c>
      <c r="V12" s="38">
        <v>8</v>
      </c>
      <c r="W12" s="38">
        <v>2</v>
      </c>
      <c r="X12" s="38">
        <v>1</v>
      </c>
      <c r="Y12" s="38">
        <v>4</v>
      </c>
      <c r="Z12" s="41">
        <f t="shared" si="1"/>
        <v>66</v>
      </c>
      <c r="AA12" s="38">
        <f t="shared" si="2"/>
        <v>95.416666666666671</v>
      </c>
      <c r="AB12" s="42">
        <f t="shared" si="3"/>
        <v>74.824999999999989</v>
      </c>
      <c r="AC12" s="38" t="s">
        <v>94</v>
      </c>
      <c r="AD12" s="43"/>
      <c r="AE12" s="43"/>
    </row>
    <row r="13" spans="1:31" ht="17.100000000000001" customHeight="1">
      <c r="A13" s="24" t="s">
        <v>80</v>
      </c>
      <c r="B13" s="7" t="s">
        <v>95</v>
      </c>
      <c r="C13" s="7">
        <v>8</v>
      </c>
      <c r="D13" s="7" t="s">
        <v>96</v>
      </c>
      <c r="E13" s="7" t="s">
        <v>50</v>
      </c>
      <c r="F13" s="7">
        <v>90</v>
      </c>
      <c r="G13" s="7">
        <v>85</v>
      </c>
      <c r="H13" s="7">
        <v>80</v>
      </c>
      <c r="I13" s="7">
        <v>80</v>
      </c>
      <c r="J13" s="26">
        <v>95</v>
      </c>
      <c r="K13" s="26">
        <v>95</v>
      </c>
      <c r="L13" s="26">
        <v>95</v>
      </c>
      <c r="M13" s="7">
        <v>100</v>
      </c>
      <c r="N13" s="7">
        <v>100</v>
      </c>
      <c r="O13" s="7">
        <v>100</v>
      </c>
      <c r="P13" s="38">
        <f t="shared" si="0"/>
        <v>92.916666666666671</v>
      </c>
      <c r="Q13" s="38">
        <v>12</v>
      </c>
      <c r="R13" s="38">
        <v>6</v>
      </c>
      <c r="S13" s="38">
        <v>9</v>
      </c>
      <c r="T13" s="38">
        <v>4</v>
      </c>
      <c r="U13" s="38">
        <v>2</v>
      </c>
      <c r="V13" s="38">
        <v>6</v>
      </c>
      <c r="W13" s="38">
        <v>2</v>
      </c>
      <c r="X13" s="38">
        <v>3</v>
      </c>
      <c r="Y13" s="38">
        <v>3</v>
      </c>
      <c r="Z13" s="41">
        <f t="shared" si="1"/>
        <v>47</v>
      </c>
      <c r="AA13" s="38">
        <f t="shared" si="2"/>
        <v>92.916666666666671</v>
      </c>
      <c r="AB13" s="42">
        <f t="shared" si="3"/>
        <v>60.774999999999999</v>
      </c>
      <c r="AC13" s="38" t="s">
        <v>96</v>
      </c>
      <c r="AD13" s="43"/>
      <c r="AE13" s="43"/>
    </row>
    <row r="14" spans="1:31" ht="17.100000000000001" customHeight="1">
      <c r="A14" s="24" t="s">
        <v>80</v>
      </c>
      <c r="B14" s="7" t="s">
        <v>97</v>
      </c>
      <c r="C14" s="7">
        <v>9</v>
      </c>
      <c r="D14" s="7" t="s">
        <v>98</v>
      </c>
      <c r="E14" s="7" t="s">
        <v>50</v>
      </c>
      <c r="F14" s="7">
        <v>90</v>
      </c>
      <c r="G14" s="7">
        <v>85</v>
      </c>
      <c r="H14" s="7">
        <v>90</v>
      </c>
      <c r="I14" s="7">
        <v>90</v>
      </c>
      <c r="J14" s="26">
        <v>90</v>
      </c>
      <c r="K14" s="26">
        <v>95</v>
      </c>
      <c r="L14" s="26">
        <v>95</v>
      </c>
      <c r="M14" s="7">
        <v>100</v>
      </c>
      <c r="N14" s="7">
        <v>100</v>
      </c>
      <c r="O14" s="7">
        <v>100</v>
      </c>
      <c r="P14" s="38">
        <f t="shared" si="0"/>
        <v>94.027777777777771</v>
      </c>
      <c r="Q14" s="38">
        <v>16</v>
      </c>
      <c r="R14" s="38">
        <v>7</v>
      </c>
      <c r="S14" s="38">
        <v>10</v>
      </c>
      <c r="T14" s="38">
        <v>10</v>
      </c>
      <c r="U14" s="38">
        <v>4</v>
      </c>
      <c r="V14" s="38">
        <v>8</v>
      </c>
      <c r="W14" s="38">
        <v>6</v>
      </c>
      <c r="X14" s="38">
        <v>10</v>
      </c>
      <c r="Y14" s="38">
        <v>7</v>
      </c>
      <c r="Z14" s="41">
        <f t="shared" si="1"/>
        <v>78</v>
      </c>
      <c r="AA14" s="38">
        <f t="shared" si="2"/>
        <v>94.027777777777771</v>
      </c>
      <c r="AB14" s="42">
        <f t="shared" si="3"/>
        <v>82.808333333333323</v>
      </c>
      <c r="AC14" s="38" t="s">
        <v>98</v>
      </c>
      <c r="AD14" s="43"/>
      <c r="AE14" s="43"/>
    </row>
    <row r="15" spans="1:31" ht="17.100000000000001" customHeight="1">
      <c r="A15" s="24" t="s">
        <v>80</v>
      </c>
      <c r="B15" s="7" t="s">
        <v>99</v>
      </c>
      <c r="C15" s="7">
        <v>10</v>
      </c>
      <c r="D15" s="9" t="s">
        <v>100</v>
      </c>
      <c r="E15" s="7" t="s">
        <v>50</v>
      </c>
      <c r="F15" s="7">
        <v>90</v>
      </c>
      <c r="G15" s="7">
        <v>75</v>
      </c>
      <c r="H15" s="7">
        <v>80</v>
      </c>
      <c r="I15" s="7">
        <v>80</v>
      </c>
      <c r="J15" s="26">
        <v>70</v>
      </c>
      <c r="K15" s="26">
        <v>95</v>
      </c>
      <c r="L15" s="26">
        <v>95</v>
      </c>
      <c r="M15" s="7">
        <v>100</v>
      </c>
      <c r="N15" s="7">
        <v>100</v>
      </c>
      <c r="O15" s="7">
        <v>100</v>
      </c>
      <c r="P15" s="38">
        <f t="shared" si="0"/>
        <v>89.305555555555557</v>
      </c>
      <c r="Q15" s="38">
        <v>12</v>
      </c>
      <c r="R15" s="38">
        <v>7</v>
      </c>
      <c r="S15" s="38">
        <v>10</v>
      </c>
      <c r="T15" s="38">
        <v>0</v>
      </c>
      <c r="U15" s="38">
        <v>2</v>
      </c>
      <c r="V15" s="38">
        <v>4</v>
      </c>
      <c r="W15" s="38">
        <v>5</v>
      </c>
      <c r="X15" s="38">
        <v>9</v>
      </c>
      <c r="Y15" s="38">
        <v>5</v>
      </c>
      <c r="Z15" s="41">
        <f t="shared" si="1"/>
        <v>54</v>
      </c>
      <c r="AA15" s="38">
        <f t="shared" si="2"/>
        <v>89.305555555555557</v>
      </c>
      <c r="AB15" s="42">
        <f t="shared" si="3"/>
        <v>64.591666666666669</v>
      </c>
      <c r="AC15" s="38" t="s">
        <v>100</v>
      </c>
      <c r="AE15" s="43"/>
    </row>
    <row r="16" spans="1:31" ht="17.100000000000001" customHeight="1">
      <c r="A16" s="24" t="s">
        <v>80</v>
      </c>
      <c r="B16" s="7" t="s">
        <v>101</v>
      </c>
      <c r="C16" s="7">
        <v>11</v>
      </c>
      <c r="D16" s="7" t="s">
        <v>102</v>
      </c>
      <c r="E16" s="7" t="s">
        <v>50</v>
      </c>
      <c r="F16" s="7">
        <v>80</v>
      </c>
      <c r="G16" s="7">
        <v>85</v>
      </c>
      <c r="H16" s="7">
        <v>85</v>
      </c>
      <c r="I16" s="7">
        <v>80</v>
      </c>
      <c r="J16" s="26">
        <v>95</v>
      </c>
      <c r="K16" s="26">
        <v>95</v>
      </c>
      <c r="L16" s="26">
        <v>95</v>
      </c>
      <c r="M16" s="7">
        <v>100</v>
      </c>
      <c r="N16" s="7">
        <v>100</v>
      </c>
      <c r="O16" s="7">
        <v>100</v>
      </c>
      <c r="P16" s="38">
        <f t="shared" si="0"/>
        <v>92.5</v>
      </c>
      <c r="Q16" s="38">
        <v>12</v>
      </c>
      <c r="R16" s="38">
        <v>5</v>
      </c>
      <c r="S16" s="38">
        <v>5</v>
      </c>
      <c r="T16" s="38">
        <v>0</v>
      </c>
      <c r="U16" s="38">
        <v>4</v>
      </c>
      <c r="V16" s="38">
        <v>2</v>
      </c>
      <c r="W16" s="38">
        <v>0</v>
      </c>
      <c r="X16" s="38">
        <v>1</v>
      </c>
      <c r="Y16" s="38">
        <v>5</v>
      </c>
      <c r="Z16" s="41">
        <f t="shared" si="1"/>
        <v>34</v>
      </c>
      <c r="AA16" s="38">
        <f t="shared" si="2"/>
        <v>92.5</v>
      </c>
      <c r="AB16" s="42">
        <f t="shared" si="3"/>
        <v>51.55</v>
      </c>
      <c r="AC16" s="38" t="s">
        <v>102</v>
      </c>
      <c r="AE16" s="43"/>
    </row>
    <row r="17" spans="1:31" ht="17.100000000000001" customHeight="1">
      <c r="A17" s="24" t="s">
        <v>80</v>
      </c>
      <c r="B17" s="7" t="s">
        <v>103</v>
      </c>
      <c r="C17" s="7">
        <v>12</v>
      </c>
      <c r="D17" s="7" t="s">
        <v>104</v>
      </c>
      <c r="E17" s="7" t="s">
        <v>50</v>
      </c>
      <c r="F17" s="20">
        <v>0</v>
      </c>
      <c r="G17" s="20">
        <v>0</v>
      </c>
      <c r="H17" s="20">
        <v>0</v>
      </c>
      <c r="I17" s="20">
        <v>0</v>
      </c>
      <c r="J17" s="26">
        <v>90</v>
      </c>
      <c r="K17" s="26">
        <v>95</v>
      </c>
      <c r="L17" s="26">
        <v>95</v>
      </c>
      <c r="M17" s="20">
        <v>100</v>
      </c>
      <c r="N17" s="20">
        <v>100</v>
      </c>
      <c r="O17" s="20">
        <v>100</v>
      </c>
      <c r="P17" s="38">
        <f t="shared" si="0"/>
        <v>64.444444444444443</v>
      </c>
      <c r="Q17" s="38">
        <v>12</v>
      </c>
      <c r="R17" s="38">
        <v>8</v>
      </c>
      <c r="S17" s="38">
        <v>10</v>
      </c>
      <c r="T17" s="38">
        <v>10</v>
      </c>
      <c r="U17" s="38">
        <v>0</v>
      </c>
      <c r="V17" s="38">
        <v>4</v>
      </c>
      <c r="W17" s="38">
        <v>2</v>
      </c>
      <c r="X17" s="38">
        <v>7</v>
      </c>
      <c r="Y17" s="38">
        <v>2</v>
      </c>
      <c r="Z17" s="41">
        <f t="shared" si="1"/>
        <v>55</v>
      </c>
      <c r="AA17" s="38">
        <f t="shared" si="2"/>
        <v>64.444444444444443</v>
      </c>
      <c r="AB17" s="42">
        <f t="shared" si="3"/>
        <v>57.833333333333329</v>
      </c>
      <c r="AC17" s="38" t="s">
        <v>104</v>
      </c>
      <c r="AE17" s="43"/>
    </row>
    <row r="18" spans="1:31" ht="17.100000000000001" customHeight="1">
      <c r="A18" s="24" t="s">
        <v>80</v>
      </c>
      <c r="B18" s="7" t="s">
        <v>105</v>
      </c>
      <c r="C18" s="7">
        <v>13</v>
      </c>
      <c r="D18" s="7" t="s">
        <v>106</v>
      </c>
      <c r="E18" s="7" t="s">
        <v>52</v>
      </c>
      <c r="F18" s="7">
        <v>85</v>
      </c>
      <c r="G18" s="7">
        <v>80</v>
      </c>
      <c r="H18" s="7">
        <v>80</v>
      </c>
      <c r="I18" s="7">
        <v>80</v>
      </c>
      <c r="J18" s="26">
        <v>95</v>
      </c>
      <c r="K18" s="26">
        <v>95</v>
      </c>
      <c r="L18" s="26">
        <v>95</v>
      </c>
      <c r="M18" s="7">
        <v>100</v>
      </c>
      <c r="N18" s="7">
        <v>100</v>
      </c>
      <c r="O18" s="7">
        <v>100</v>
      </c>
      <c r="P18" s="38">
        <f t="shared" si="0"/>
        <v>92.083333333333329</v>
      </c>
      <c r="Q18" s="38">
        <v>12</v>
      </c>
      <c r="R18" s="38">
        <v>8</v>
      </c>
      <c r="S18" s="38">
        <v>10</v>
      </c>
      <c r="T18" s="38">
        <v>10</v>
      </c>
      <c r="U18" s="38">
        <v>2</v>
      </c>
      <c r="V18" s="38">
        <v>2</v>
      </c>
      <c r="W18" s="38">
        <v>2</v>
      </c>
      <c r="X18" s="38">
        <v>4</v>
      </c>
      <c r="Y18" s="38">
        <v>6</v>
      </c>
      <c r="Z18" s="41">
        <f t="shared" si="1"/>
        <v>56</v>
      </c>
      <c r="AA18" s="38">
        <f t="shared" si="2"/>
        <v>92.083333333333329</v>
      </c>
      <c r="AB18" s="42">
        <f t="shared" si="3"/>
        <v>66.824999999999989</v>
      </c>
      <c r="AC18" s="38" t="s">
        <v>106</v>
      </c>
      <c r="AE18" s="43"/>
    </row>
    <row r="19" spans="1:31" ht="17.100000000000001" customHeight="1">
      <c r="A19" s="24" t="s">
        <v>80</v>
      </c>
      <c r="B19" s="7" t="s">
        <v>107</v>
      </c>
      <c r="C19" s="7">
        <v>14</v>
      </c>
      <c r="D19" s="7" t="s">
        <v>108</v>
      </c>
      <c r="E19" s="7" t="s">
        <v>52</v>
      </c>
      <c r="F19" s="7">
        <v>80</v>
      </c>
      <c r="G19" s="7">
        <v>80</v>
      </c>
      <c r="H19" s="7">
        <v>80</v>
      </c>
      <c r="I19" s="7">
        <v>75</v>
      </c>
      <c r="J19" s="26">
        <v>90</v>
      </c>
      <c r="K19" s="26">
        <v>95</v>
      </c>
      <c r="L19" s="26">
        <v>95</v>
      </c>
      <c r="M19" s="7">
        <v>100</v>
      </c>
      <c r="N19" s="7">
        <v>100</v>
      </c>
      <c r="O19" s="7">
        <v>100</v>
      </c>
      <c r="P19" s="38">
        <f t="shared" si="0"/>
        <v>90.694444444444443</v>
      </c>
      <c r="Q19" s="38">
        <v>16</v>
      </c>
      <c r="R19" s="38">
        <v>6</v>
      </c>
      <c r="S19" s="38">
        <v>10</v>
      </c>
      <c r="T19" s="38">
        <v>10</v>
      </c>
      <c r="U19" s="38">
        <v>0</v>
      </c>
      <c r="V19" s="38">
        <v>4</v>
      </c>
      <c r="W19" s="38">
        <v>0</v>
      </c>
      <c r="X19" s="38">
        <v>9</v>
      </c>
      <c r="Y19" s="38">
        <v>6</v>
      </c>
      <c r="Z19" s="41">
        <f t="shared" si="1"/>
        <v>61</v>
      </c>
      <c r="AA19" s="38">
        <f t="shared" si="2"/>
        <v>90.694444444444443</v>
      </c>
      <c r="AB19" s="42">
        <f t="shared" si="3"/>
        <v>69.908333333333331</v>
      </c>
      <c r="AC19" s="38" t="s">
        <v>108</v>
      </c>
      <c r="AE19" s="43"/>
    </row>
    <row r="20" spans="1:31" ht="17.100000000000001" customHeight="1">
      <c r="A20" s="24" t="s">
        <v>80</v>
      </c>
      <c r="B20" s="7" t="s">
        <v>109</v>
      </c>
      <c r="C20" s="7">
        <v>15</v>
      </c>
      <c r="D20" s="7" t="s">
        <v>110</v>
      </c>
      <c r="E20" s="7" t="s">
        <v>50</v>
      </c>
      <c r="F20" s="7">
        <v>95</v>
      </c>
      <c r="G20" s="7">
        <v>90</v>
      </c>
      <c r="H20" s="7">
        <v>90</v>
      </c>
      <c r="I20" s="7">
        <v>90</v>
      </c>
      <c r="J20" s="26">
        <v>95</v>
      </c>
      <c r="K20" s="26">
        <v>95</v>
      </c>
      <c r="L20" s="26">
        <v>95</v>
      </c>
      <c r="M20" s="7">
        <v>100</v>
      </c>
      <c r="N20" s="7">
        <v>100</v>
      </c>
      <c r="O20" s="7">
        <v>100</v>
      </c>
      <c r="P20" s="38">
        <f t="shared" si="0"/>
        <v>95.416666666666671</v>
      </c>
      <c r="Q20" s="38">
        <v>16</v>
      </c>
      <c r="R20" s="38">
        <v>8</v>
      </c>
      <c r="S20" s="38">
        <v>9</v>
      </c>
      <c r="T20" s="38">
        <v>10</v>
      </c>
      <c r="U20" s="38">
        <v>2</v>
      </c>
      <c r="V20" s="38">
        <v>0</v>
      </c>
      <c r="W20" s="38">
        <v>6</v>
      </c>
      <c r="X20" s="38">
        <v>5</v>
      </c>
      <c r="Y20" s="38">
        <v>4</v>
      </c>
      <c r="Z20" s="41">
        <f t="shared" si="1"/>
        <v>60</v>
      </c>
      <c r="AA20" s="38">
        <f t="shared" si="2"/>
        <v>95.416666666666671</v>
      </c>
      <c r="AB20" s="42">
        <f t="shared" si="3"/>
        <v>70.625</v>
      </c>
      <c r="AC20" s="38" t="s">
        <v>110</v>
      </c>
      <c r="AE20" s="43"/>
    </row>
    <row r="21" spans="1:31" ht="17.100000000000001" customHeight="1">
      <c r="A21" s="24" t="s">
        <v>80</v>
      </c>
      <c r="B21" s="7" t="s">
        <v>111</v>
      </c>
      <c r="C21" s="7">
        <v>16</v>
      </c>
      <c r="D21" s="7" t="s">
        <v>112</v>
      </c>
      <c r="E21" s="7" t="s">
        <v>50</v>
      </c>
      <c r="F21" s="7">
        <v>95</v>
      </c>
      <c r="G21" s="7">
        <v>85</v>
      </c>
      <c r="H21" s="7">
        <v>80</v>
      </c>
      <c r="I21" s="7">
        <v>80</v>
      </c>
      <c r="J21" s="26">
        <v>100</v>
      </c>
      <c r="K21" s="26">
        <v>95</v>
      </c>
      <c r="L21" s="26">
        <v>95</v>
      </c>
      <c r="M21" s="7">
        <v>100</v>
      </c>
      <c r="N21" s="7">
        <v>100</v>
      </c>
      <c r="O21" s="7">
        <v>100</v>
      </c>
      <c r="P21" s="38">
        <f t="shared" si="0"/>
        <v>93.8888888888889</v>
      </c>
      <c r="Q21" s="38">
        <v>16</v>
      </c>
      <c r="R21" s="38">
        <v>7</v>
      </c>
      <c r="S21" s="38">
        <v>9</v>
      </c>
      <c r="T21" s="38">
        <v>10</v>
      </c>
      <c r="U21" s="38">
        <v>2</v>
      </c>
      <c r="V21" s="38">
        <v>0</v>
      </c>
      <c r="W21" s="38">
        <v>0</v>
      </c>
      <c r="X21" s="38">
        <v>0</v>
      </c>
      <c r="Y21" s="38">
        <v>4</v>
      </c>
      <c r="Z21" s="41">
        <f t="shared" si="1"/>
        <v>48</v>
      </c>
      <c r="AA21" s="38">
        <f t="shared" si="2"/>
        <v>93.8888888888889</v>
      </c>
      <c r="AB21" s="42">
        <f t="shared" si="3"/>
        <v>61.766666666666666</v>
      </c>
      <c r="AC21" s="38" t="s">
        <v>112</v>
      </c>
      <c r="AE21" s="43"/>
    </row>
    <row r="22" spans="1:31" ht="17.100000000000001" customHeight="1">
      <c r="A22" s="24" t="s">
        <v>80</v>
      </c>
      <c r="B22" s="7" t="s">
        <v>113</v>
      </c>
      <c r="C22" s="7">
        <v>17</v>
      </c>
      <c r="D22" s="7" t="s">
        <v>114</v>
      </c>
      <c r="E22" s="7" t="s">
        <v>50</v>
      </c>
      <c r="F22" s="7">
        <v>90</v>
      </c>
      <c r="G22" s="7">
        <v>85</v>
      </c>
      <c r="H22" s="7">
        <v>80</v>
      </c>
      <c r="I22" s="7">
        <v>80</v>
      </c>
      <c r="J22" s="26">
        <v>95</v>
      </c>
      <c r="K22" s="26">
        <v>95</v>
      </c>
      <c r="L22" s="26">
        <v>95</v>
      </c>
      <c r="M22" s="7">
        <v>100</v>
      </c>
      <c r="N22" s="7">
        <v>100</v>
      </c>
      <c r="O22" s="7">
        <v>100</v>
      </c>
      <c r="P22" s="38">
        <f t="shared" si="0"/>
        <v>92.916666666666671</v>
      </c>
      <c r="Q22" s="38">
        <v>16</v>
      </c>
      <c r="R22" s="38">
        <v>7</v>
      </c>
      <c r="S22" s="38">
        <v>9</v>
      </c>
      <c r="T22" s="38">
        <v>10</v>
      </c>
      <c r="U22" s="38">
        <v>0</v>
      </c>
      <c r="V22" s="38">
        <v>2</v>
      </c>
      <c r="W22" s="38">
        <v>2</v>
      </c>
      <c r="X22" s="38">
        <v>3</v>
      </c>
      <c r="Y22" s="38">
        <v>4</v>
      </c>
      <c r="Z22" s="41">
        <f t="shared" si="1"/>
        <v>53</v>
      </c>
      <c r="AA22" s="38">
        <f t="shared" si="2"/>
        <v>92.916666666666671</v>
      </c>
      <c r="AB22" s="42">
        <f t="shared" si="3"/>
        <v>64.974999999999994</v>
      </c>
      <c r="AC22" s="38" t="s">
        <v>114</v>
      </c>
      <c r="AE22" s="43"/>
    </row>
    <row r="23" spans="1:31" ht="17.100000000000001" customHeight="1">
      <c r="A23" s="24" t="s">
        <v>80</v>
      </c>
      <c r="B23" s="7" t="s">
        <v>115</v>
      </c>
      <c r="C23" s="7">
        <v>18</v>
      </c>
      <c r="D23" s="7" t="s">
        <v>116</v>
      </c>
      <c r="E23" s="7" t="s">
        <v>50</v>
      </c>
      <c r="F23" s="7">
        <v>80</v>
      </c>
      <c r="G23" s="7">
        <v>80</v>
      </c>
      <c r="H23" s="7">
        <v>80</v>
      </c>
      <c r="I23" s="7">
        <v>75</v>
      </c>
      <c r="J23" s="26">
        <v>95</v>
      </c>
      <c r="K23" s="26">
        <v>95</v>
      </c>
      <c r="L23" s="26">
        <v>95</v>
      </c>
      <c r="M23" s="7">
        <v>100</v>
      </c>
      <c r="N23" s="7">
        <v>100</v>
      </c>
      <c r="O23" s="7">
        <v>100</v>
      </c>
      <c r="P23" s="38">
        <f t="shared" si="0"/>
        <v>91.25</v>
      </c>
      <c r="Q23" s="38">
        <v>16</v>
      </c>
      <c r="R23" s="38">
        <v>6</v>
      </c>
      <c r="S23" s="38">
        <v>10</v>
      </c>
      <c r="T23" s="38">
        <v>10</v>
      </c>
      <c r="U23" s="38">
        <v>6</v>
      </c>
      <c r="V23" s="38">
        <v>8</v>
      </c>
      <c r="W23" s="38">
        <v>0</v>
      </c>
      <c r="X23" s="38">
        <v>5</v>
      </c>
      <c r="Y23" s="38">
        <v>4</v>
      </c>
      <c r="Z23" s="41">
        <f t="shared" si="1"/>
        <v>65</v>
      </c>
      <c r="AA23" s="38">
        <f t="shared" si="2"/>
        <v>91.25</v>
      </c>
      <c r="AB23" s="42">
        <f t="shared" si="3"/>
        <v>72.875</v>
      </c>
      <c r="AC23" s="38" t="s">
        <v>116</v>
      </c>
      <c r="AE23" s="43"/>
    </row>
    <row r="24" spans="1:31" ht="17.100000000000001" customHeight="1">
      <c r="A24" s="24" t="s">
        <v>80</v>
      </c>
      <c r="B24" s="7" t="s">
        <v>117</v>
      </c>
      <c r="C24" s="7">
        <v>19</v>
      </c>
      <c r="D24" s="7" t="s">
        <v>118</v>
      </c>
      <c r="E24" s="7" t="s">
        <v>50</v>
      </c>
      <c r="F24" s="7">
        <v>75</v>
      </c>
      <c r="G24" s="7">
        <v>85</v>
      </c>
      <c r="H24" s="7">
        <v>80</v>
      </c>
      <c r="I24" s="7">
        <v>80</v>
      </c>
      <c r="J24" s="26">
        <v>95</v>
      </c>
      <c r="K24" s="26">
        <v>95</v>
      </c>
      <c r="L24" s="26">
        <v>95</v>
      </c>
      <c r="M24" s="7">
        <v>100</v>
      </c>
      <c r="N24" s="7">
        <v>100</v>
      </c>
      <c r="O24" s="7">
        <v>100</v>
      </c>
      <c r="P24" s="38">
        <f t="shared" si="0"/>
        <v>91.666666666666671</v>
      </c>
      <c r="Q24" s="38">
        <v>12</v>
      </c>
      <c r="R24" s="38">
        <v>7</v>
      </c>
      <c r="S24" s="38">
        <v>10</v>
      </c>
      <c r="T24" s="38">
        <v>2</v>
      </c>
      <c r="U24" s="38">
        <v>0</v>
      </c>
      <c r="V24" s="38">
        <v>6</v>
      </c>
      <c r="W24" s="38">
        <v>6</v>
      </c>
      <c r="X24" s="38">
        <v>3</v>
      </c>
      <c r="Y24" s="38">
        <v>3</v>
      </c>
      <c r="Z24" s="41">
        <f t="shared" si="1"/>
        <v>49</v>
      </c>
      <c r="AA24" s="38">
        <f t="shared" si="2"/>
        <v>91.666666666666671</v>
      </c>
      <c r="AB24" s="42">
        <f t="shared" si="3"/>
        <v>61.8</v>
      </c>
      <c r="AC24" s="38" t="s">
        <v>118</v>
      </c>
      <c r="AE24" s="43"/>
    </row>
    <row r="25" spans="1:31" ht="17.100000000000001" customHeight="1">
      <c r="A25" s="24" t="s">
        <v>80</v>
      </c>
      <c r="B25" s="7" t="s">
        <v>119</v>
      </c>
      <c r="C25" s="7">
        <v>20</v>
      </c>
      <c r="D25" s="7" t="s">
        <v>120</v>
      </c>
      <c r="E25" s="7" t="s">
        <v>50</v>
      </c>
      <c r="F25" s="7">
        <v>90</v>
      </c>
      <c r="G25" s="7">
        <v>85</v>
      </c>
      <c r="H25" s="7">
        <v>80</v>
      </c>
      <c r="I25" s="7">
        <v>90</v>
      </c>
      <c r="J25" s="26">
        <v>100</v>
      </c>
      <c r="K25" s="26">
        <v>95</v>
      </c>
      <c r="L25" s="26">
        <v>95</v>
      </c>
      <c r="M25" s="7">
        <v>100</v>
      </c>
      <c r="N25" s="7">
        <v>100</v>
      </c>
      <c r="O25" s="7">
        <v>100</v>
      </c>
      <c r="P25" s="38">
        <f t="shared" si="0"/>
        <v>94.305555555555557</v>
      </c>
      <c r="Q25" s="38">
        <v>20</v>
      </c>
      <c r="R25" s="38">
        <v>9</v>
      </c>
      <c r="S25" s="38">
        <v>10</v>
      </c>
      <c r="T25" s="38">
        <v>8</v>
      </c>
      <c r="U25" s="38">
        <v>6</v>
      </c>
      <c r="V25" s="38">
        <v>6</v>
      </c>
      <c r="W25" s="38">
        <v>6</v>
      </c>
      <c r="X25" s="38">
        <v>10</v>
      </c>
      <c r="Y25" s="38">
        <v>8</v>
      </c>
      <c r="Z25" s="41">
        <f t="shared" si="1"/>
        <v>83</v>
      </c>
      <c r="AA25" s="38">
        <f t="shared" si="2"/>
        <v>94.305555555555557</v>
      </c>
      <c r="AB25" s="42">
        <f t="shared" si="3"/>
        <v>86.391666666666666</v>
      </c>
      <c r="AC25" s="38" t="s">
        <v>120</v>
      </c>
    </row>
    <row r="26" spans="1:31" ht="17.100000000000001" customHeight="1">
      <c r="A26" s="24" t="s">
        <v>80</v>
      </c>
      <c r="B26" s="7" t="s">
        <v>121</v>
      </c>
      <c r="C26" s="7">
        <v>21</v>
      </c>
      <c r="D26" s="7" t="s">
        <v>122</v>
      </c>
      <c r="E26" s="7" t="s">
        <v>50</v>
      </c>
      <c r="F26" s="7">
        <v>80</v>
      </c>
      <c r="G26" s="7">
        <v>80</v>
      </c>
      <c r="H26" s="7">
        <v>80</v>
      </c>
      <c r="I26" s="7">
        <v>80</v>
      </c>
      <c r="J26" s="26">
        <v>85</v>
      </c>
      <c r="K26" s="26">
        <v>95</v>
      </c>
      <c r="L26" s="26">
        <v>95</v>
      </c>
      <c r="M26" s="7">
        <v>100</v>
      </c>
      <c r="N26" s="7">
        <v>100</v>
      </c>
      <c r="O26" s="7">
        <v>100</v>
      </c>
      <c r="P26" s="38">
        <f t="shared" si="0"/>
        <v>90.555555555555557</v>
      </c>
      <c r="Q26" s="38">
        <v>12</v>
      </c>
      <c r="R26" s="38">
        <v>7</v>
      </c>
      <c r="S26" s="38">
        <v>10</v>
      </c>
      <c r="T26" s="38">
        <v>10</v>
      </c>
      <c r="U26" s="38">
        <v>4</v>
      </c>
      <c r="V26" s="38">
        <v>0</v>
      </c>
      <c r="W26" s="38">
        <v>0</v>
      </c>
      <c r="X26" s="38">
        <v>4</v>
      </c>
      <c r="Y26" s="38">
        <v>4</v>
      </c>
      <c r="Z26" s="41">
        <f t="shared" si="1"/>
        <v>51</v>
      </c>
      <c r="AA26" s="38">
        <f t="shared" si="2"/>
        <v>90.555555555555557</v>
      </c>
      <c r="AB26" s="42">
        <f t="shared" si="3"/>
        <v>62.86666666666666</v>
      </c>
      <c r="AC26" s="38" t="s">
        <v>122</v>
      </c>
    </row>
    <row r="27" spans="1:31" ht="17.100000000000001" customHeight="1">
      <c r="A27" s="24" t="s">
        <v>80</v>
      </c>
      <c r="B27" s="7" t="s">
        <v>123</v>
      </c>
      <c r="C27" s="7">
        <v>22</v>
      </c>
      <c r="D27" s="7" t="s">
        <v>124</v>
      </c>
      <c r="E27" s="7" t="s">
        <v>50</v>
      </c>
      <c r="F27" s="7">
        <v>80</v>
      </c>
      <c r="G27" s="7">
        <v>80</v>
      </c>
      <c r="H27" s="7">
        <v>85</v>
      </c>
      <c r="I27" s="7">
        <v>95</v>
      </c>
      <c r="J27" s="26">
        <v>85</v>
      </c>
      <c r="K27" s="26">
        <v>95</v>
      </c>
      <c r="L27" s="26">
        <v>95</v>
      </c>
      <c r="M27" s="7">
        <v>100</v>
      </c>
      <c r="N27" s="7">
        <v>100</v>
      </c>
      <c r="O27" s="7">
        <v>100</v>
      </c>
      <c r="P27" s="38">
        <f t="shared" si="0"/>
        <v>92.222222222222229</v>
      </c>
      <c r="Q27" s="38">
        <v>16</v>
      </c>
      <c r="R27" s="38">
        <v>7</v>
      </c>
      <c r="S27" s="38">
        <v>9</v>
      </c>
      <c r="T27" s="38">
        <v>10</v>
      </c>
      <c r="U27" s="38">
        <v>0</v>
      </c>
      <c r="V27" s="38">
        <v>4</v>
      </c>
      <c r="W27" s="38">
        <v>2</v>
      </c>
      <c r="X27" s="38">
        <v>2</v>
      </c>
      <c r="Y27" s="38">
        <v>3</v>
      </c>
      <c r="Z27" s="41">
        <f t="shared" si="1"/>
        <v>53</v>
      </c>
      <c r="AA27" s="38">
        <f t="shared" si="2"/>
        <v>92.222222222222229</v>
      </c>
      <c r="AB27" s="42">
        <f t="shared" si="3"/>
        <v>64.766666666666666</v>
      </c>
      <c r="AC27" s="38" t="s">
        <v>124</v>
      </c>
    </row>
    <row r="28" spans="1:31" ht="17.100000000000001" customHeight="1">
      <c r="A28" s="24" t="s">
        <v>80</v>
      </c>
      <c r="B28" s="7" t="s">
        <v>125</v>
      </c>
      <c r="C28" s="7">
        <v>23</v>
      </c>
      <c r="D28" s="7" t="s">
        <v>126</v>
      </c>
      <c r="E28" s="7" t="s">
        <v>50</v>
      </c>
      <c r="F28" s="7">
        <v>85</v>
      </c>
      <c r="G28" s="7">
        <v>100</v>
      </c>
      <c r="H28" s="7">
        <v>85</v>
      </c>
      <c r="I28" s="7">
        <v>95</v>
      </c>
      <c r="J28" s="26">
        <v>80</v>
      </c>
      <c r="K28" s="26">
        <v>95</v>
      </c>
      <c r="L28" s="26">
        <v>95</v>
      </c>
      <c r="M28" s="7">
        <v>100</v>
      </c>
      <c r="N28" s="7">
        <v>100</v>
      </c>
      <c r="O28" s="7">
        <v>100</v>
      </c>
      <c r="P28" s="38">
        <f t="shared" si="0"/>
        <v>93.75</v>
      </c>
      <c r="Q28" s="38">
        <v>16</v>
      </c>
      <c r="R28" s="38">
        <v>8</v>
      </c>
      <c r="S28" s="38">
        <v>9</v>
      </c>
      <c r="T28" s="38">
        <v>10</v>
      </c>
      <c r="U28" s="38">
        <v>4</v>
      </c>
      <c r="V28" s="38">
        <v>4</v>
      </c>
      <c r="W28" s="38">
        <v>2</v>
      </c>
      <c r="X28" s="38">
        <v>6</v>
      </c>
      <c r="Y28" s="38">
        <v>4</v>
      </c>
      <c r="Z28" s="41">
        <f t="shared" si="1"/>
        <v>63</v>
      </c>
      <c r="AA28" s="38">
        <f t="shared" si="2"/>
        <v>93.75</v>
      </c>
      <c r="AB28" s="42">
        <f t="shared" si="3"/>
        <v>72.224999999999994</v>
      </c>
      <c r="AC28" s="38" t="s">
        <v>126</v>
      </c>
    </row>
    <row r="29" spans="1:31" ht="17.100000000000001" customHeight="1">
      <c r="A29" s="24" t="s">
        <v>80</v>
      </c>
      <c r="B29" s="7" t="s">
        <v>127</v>
      </c>
      <c r="C29" s="7">
        <v>24</v>
      </c>
      <c r="D29" s="7" t="s">
        <v>128</v>
      </c>
      <c r="E29" s="7" t="s">
        <v>52</v>
      </c>
      <c r="F29" s="7">
        <v>95</v>
      </c>
      <c r="G29" s="7">
        <v>90</v>
      </c>
      <c r="H29" s="7">
        <v>90</v>
      </c>
      <c r="I29" s="7">
        <v>100</v>
      </c>
      <c r="J29" s="26">
        <v>100</v>
      </c>
      <c r="K29" s="26">
        <v>100</v>
      </c>
      <c r="L29" s="26">
        <v>100</v>
      </c>
      <c r="M29" s="7">
        <v>100</v>
      </c>
      <c r="N29" s="7">
        <v>100</v>
      </c>
      <c r="O29" s="7">
        <v>100</v>
      </c>
      <c r="P29" s="38">
        <f t="shared" si="0"/>
        <v>97.916666666666671</v>
      </c>
      <c r="Q29" s="38">
        <v>20</v>
      </c>
      <c r="R29" s="38">
        <v>8</v>
      </c>
      <c r="S29" s="38">
        <v>9</v>
      </c>
      <c r="T29" s="38">
        <v>10</v>
      </c>
      <c r="U29" s="38">
        <v>0</v>
      </c>
      <c r="V29" s="38">
        <v>6</v>
      </c>
      <c r="W29" s="38">
        <v>6</v>
      </c>
      <c r="X29" s="38">
        <v>3</v>
      </c>
      <c r="Y29" s="38">
        <v>4</v>
      </c>
      <c r="Z29" s="41">
        <f t="shared" si="1"/>
        <v>66</v>
      </c>
      <c r="AA29" s="38">
        <f t="shared" si="2"/>
        <v>97.916666666666671</v>
      </c>
      <c r="AB29" s="42">
        <f t="shared" si="3"/>
        <v>75.574999999999989</v>
      </c>
      <c r="AC29" s="38" t="s">
        <v>128</v>
      </c>
    </row>
    <row r="30" spans="1:31" ht="17.100000000000001" customHeight="1">
      <c r="A30" s="24" t="s">
        <v>80</v>
      </c>
      <c r="B30" s="7" t="s">
        <v>129</v>
      </c>
      <c r="C30" s="7">
        <v>25</v>
      </c>
      <c r="D30" s="7" t="s">
        <v>130</v>
      </c>
      <c r="E30" s="7" t="s">
        <v>50</v>
      </c>
      <c r="F30" s="7">
        <v>100</v>
      </c>
      <c r="G30" s="7">
        <v>100</v>
      </c>
      <c r="H30" s="7">
        <v>100</v>
      </c>
      <c r="I30" s="7">
        <v>90</v>
      </c>
      <c r="J30" s="26">
        <v>90</v>
      </c>
      <c r="K30" s="26">
        <v>95</v>
      </c>
      <c r="L30" s="26">
        <v>95</v>
      </c>
      <c r="M30" s="7">
        <v>100</v>
      </c>
      <c r="N30" s="7">
        <v>100</v>
      </c>
      <c r="O30" s="7">
        <v>100</v>
      </c>
      <c r="P30" s="38">
        <f t="shared" si="0"/>
        <v>96.944444444444443</v>
      </c>
      <c r="Q30" s="38">
        <v>16</v>
      </c>
      <c r="R30" s="38">
        <v>6</v>
      </c>
      <c r="S30" s="38">
        <v>10</v>
      </c>
      <c r="T30" s="38">
        <v>10</v>
      </c>
      <c r="U30" s="38">
        <v>8</v>
      </c>
      <c r="V30" s="38">
        <v>6</v>
      </c>
      <c r="W30" s="38">
        <v>6</v>
      </c>
      <c r="X30" s="38">
        <v>9</v>
      </c>
      <c r="Y30" s="38">
        <v>5</v>
      </c>
      <c r="Z30" s="41">
        <f t="shared" si="1"/>
        <v>76</v>
      </c>
      <c r="AA30" s="38">
        <f t="shared" si="2"/>
        <v>96.944444444444443</v>
      </c>
      <c r="AB30" s="42">
        <f t="shared" si="3"/>
        <v>82.283333333333331</v>
      </c>
      <c r="AC30" s="38" t="s">
        <v>130</v>
      </c>
    </row>
    <row r="31" spans="1:31" ht="17.100000000000001" customHeight="1">
      <c r="A31" s="24" t="s">
        <v>80</v>
      </c>
      <c r="B31" s="7" t="s">
        <v>131</v>
      </c>
      <c r="C31" s="7">
        <v>26</v>
      </c>
      <c r="D31" s="7" t="s">
        <v>132</v>
      </c>
      <c r="E31" s="7" t="s">
        <v>50</v>
      </c>
      <c r="F31" s="7">
        <v>80</v>
      </c>
      <c r="G31" s="7">
        <v>85</v>
      </c>
      <c r="H31" s="7">
        <v>80</v>
      </c>
      <c r="I31" s="7">
        <v>85</v>
      </c>
      <c r="J31" s="26">
        <v>85</v>
      </c>
      <c r="K31" s="26">
        <v>95</v>
      </c>
      <c r="L31" s="26">
        <v>95</v>
      </c>
      <c r="M31" s="7">
        <v>100</v>
      </c>
      <c r="N31" s="7">
        <v>100</v>
      </c>
      <c r="O31" s="7">
        <v>100</v>
      </c>
      <c r="P31" s="38">
        <f t="shared" si="0"/>
        <v>91.3888888888889</v>
      </c>
      <c r="Q31" s="38">
        <v>16</v>
      </c>
      <c r="R31" s="38">
        <v>4</v>
      </c>
      <c r="S31" s="38">
        <v>4</v>
      </c>
      <c r="T31" s="38">
        <v>10</v>
      </c>
      <c r="U31" s="38">
        <v>0</v>
      </c>
      <c r="V31" s="38">
        <v>4</v>
      </c>
      <c r="W31" s="38">
        <v>0</v>
      </c>
      <c r="X31" s="38">
        <v>6</v>
      </c>
      <c r="Y31" s="38">
        <v>5</v>
      </c>
      <c r="Z31" s="41">
        <f t="shared" si="1"/>
        <v>49</v>
      </c>
      <c r="AA31" s="38">
        <f t="shared" si="2"/>
        <v>91.3888888888889</v>
      </c>
      <c r="AB31" s="42">
        <f t="shared" si="3"/>
        <v>61.716666666666669</v>
      </c>
      <c r="AC31" s="38" t="s">
        <v>132</v>
      </c>
    </row>
    <row r="32" spans="1:31" ht="17.100000000000001" customHeight="1">
      <c r="A32" s="7" t="s">
        <v>80</v>
      </c>
      <c r="B32" s="7" t="s">
        <v>133</v>
      </c>
      <c r="C32" s="7">
        <v>27</v>
      </c>
      <c r="D32" s="7" t="s">
        <v>134</v>
      </c>
      <c r="E32" s="7" t="s">
        <v>52</v>
      </c>
      <c r="F32" s="7">
        <v>90</v>
      </c>
      <c r="G32" s="7">
        <v>90</v>
      </c>
      <c r="H32" s="7">
        <v>90</v>
      </c>
      <c r="I32" s="7">
        <v>90</v>
      </c>
      <c r="J32" s="26">
        <v>95</v>
      </c>
      <c r="K32" s="26">
        <v>95</v>
      </c>
      <c r="L32" s="26">
        <v>95</v>
      </c>
      <c r="M32" s="7">
        <v>100</v>
      </c>
      <c r="N32" s="7">
        <v>100</v>
      </c>
      <c r="O32" s="7">
        <v>100</v>
      </c>
      <c r="P32" s="38">
        <f t="shared" si="0"/>
        <v>95</v>
      </c>
      <c r="Q32" s="38">
        <v>12</v>
      </c>
      <c r="R32" s="38">
        <v>7</v>
      </c>
      <c r="S32" s="38">
        <v>10</v>
      </c>
      <c r="T32" s="38">
        <v>0</v>
      </c>
      <c r="U32" s="38">
        <v>0</v>
      </c>
      <c r="V32" s="38">
        <v>0</v>
      </c>
      <c r="W32" s="38">
        <v>7</v>
      </c>
      <c r="X32" s="38">
        <v>7</v>
      </c>
      <c r="Y32" s="38">
        <v>5</v>
      </c>
      <c r="Z32" s="41">
        <f t="shared" si="1"/>
        <v>48</v>
      </c>
      <c r="AA32" s="38">
        <f t="shared" si="2"/>
        <v>95</v>
      </c>
      <c r="AB32" s="42">
        <f t="shared" si="3"/>
        <v>62.099999999999994</v>
      </c>
      <c r="AC32" s="38" t="s">
        <v>134</v>
      </c>
    </row>
    <row r="33" spans="1:29" ht="17.100000000000001" customHeight="1">
      <c r="A33" s="7" t="s">
        <v>80</v>
      </c>
      <c r="B33" s="7" t="s">
        <v>135</v>
      </c>
      <c r="C33" s="7">
        <v>28</v>
      </c>
      <c r="D33" s="7" t="s">
        <v>136</v>
      </c>
      <c r="E33" s="7" t="s">
        <v>50</v>
      </c>
      <c r="F33" s="7">
        <v>100</v>
      </c>
      <c r="G33" s="7">
        <v>100</v>
      </c>
      <c r="H33" s="7">
        <v>90</v>
      </c>
      <c r="I33" s="7">
        <v>90</v>
      </c>
      <c r="J33" s="26">
        <v>95</v>
      </c>
      <c r="K33" s="26">
        <v>95</v>
      </c>
      <c r="L33" s="26">
        <v>95</v>
      </c>
      <c r="M33" s="7">
        <v>100</v>
      </c>
      <c r="N33" s="7">
        <v>100</v>
      </c>
      <c r="O33" s="7">
        <v>100</v>
      </c>
      <c r="P33" s="38">
        <f t="shared" si="0"/>
        <v>96.666666666666671</v>
      </c>
      <c r="Q33" s="38">
        <v>20</v>
      </c>
      <c r="R33" s="38">
        <v>7</v>
      </c>
      <c r="S33" s="38">
        <v>10</v>
      </c>
      <c r="T33" s="38">
        <v>6</v>
      </c>
      <c r="U33" s="38">
        <v>4</v>
      </c>
      <c r="V33" s="38">
        <v>6</v>
      </c>
      <c r="W33" s="38">
        <v>6</v>
      </c>
      <c r="X33" s="38">
        <v>3</v>
      </c>
      <c r="Y33" s="38">
        <v>4</v>
      </c>
      <c r="Z33" s="41">
        <f t="shared" si="1"/>
        <v>66</v>
      </c>
      <c r="AA33" s="38">
        <f t="shared" si="2"/>
        <v>96.666666666666671</v>
      </c>
      <c r="AB33" s="42">
        <f t="shared" si="3"/>
        <v>75.199999999999989</v>
      </c>
      <c r="AC33" s="38" t="s">
        <v>136</v>
      </c>
    </row>
    <row r="34" spans="1:29" ht="17.100000000000001" customHeight="1">
      <c r="A34" s="7" t="s">
        <v>80</v>
      </c>
      <c r="B34" s="7" t="s">
        <v>137</v>
      </c>
      <c r="C34" s="7">
        <v>29</v>
      </c>
      <c r="D34" s="7" t="s">
        <v>138</v>
      </c>
      <c r="E34" s="7" t="s">
        <v>50</v>
      </c>
      <c r="F34" s="7">
        <v>75</v>
      </c>
      <c r="G34" s="7">
        <v>85</v>
      </c>
      <c r="H34" s="7">
        <v>100</v>
      </c>
      <c r="I34" s="7">
        <v>95</v>
      </c>
      <c r="J34" s="26">
        <v>90</v>
      </c>
      <c r="K34" s="26">
        <v>95</v>
      </c>
      <c r="L34" s="26">
        <v>95</v>
      </c>
      <c r="M34" s="7">
        <v>100</v>
      </c>
      <c r="N34" s="7">
        <v>100</v>
      </c>
      <c r="O34" s="7">
        <v>100</v>
      </c>
      <c r="P34" s="38">
        <f t="shared" si="0"/>
        <v>94.027777777777771</v>
      </c>
      <c r="Q34" s="38">
        <v>12</v>
      </c>
      <c r="R34" s="38">
        <v>9</v>
      </c>
      <c r="S34" s="38">
        <v>10</v>
      </c>
      <c r="T34" s="38">
        <v>10</v>
      </c>
      <c r="U34" s="38">
        <v>6</v>
      </c>
      <c r="V34" s="38">
        <v>6</v>
      </c>
      <c r="W34" s="38">
        <v>0</v>
      </c>
      <c r="X34" s="38">
        <v>6</v>
      </c>
      <c r="Y34" s="38">
        <v>4</v>
      </c>
      <c r="Z34" s="41">
        <f t="shared" si="1"/>
        <v>63</v>
      </c>
      <c r="AA34" s="38">
        <f t="shared" si="2"/>
        <v>94.027777777777771</v>
      </c>
      <c r="AB34" s="42">
        <f t="shared" si="3"/>
        <v>72.308333333333323</v>
      </c>
      <c r="AC34" s="38" t="s">
        <v>138</v>
      </c>
    </row>
    <row r="35" spans="1:29">
      <c r="F35" s="1">
        <f>COUNTIF(F$6:F$34,"&gt;=90")</f>
        <v>16</v>
      </c>
      <c r="G35" s="1">
        <f>COUNTIF(G$6:G$34,"&gt;=90")</f>
        <v>11</v>
      </c>
      <c r="H35" s="1">
        <f>COUNTIF(H$6:H$34,"&gt;=90")</f>
        <v>12</v>
      </c>
      <c r="I35" s="48">
        <f>COUNTIF(I$6:I$34,"&gt;=90")/29</f>
        <v>0.51724137931034486</v>
      </c>
      <c r="Z35">
        <f>COUNTIF(Z$6:Z$34,"&gt;=90")</f>
        <v>1</v>
      </c>
      <c r="AA35" s="46">
        <f>Z35/29</f>
        <v>3.4482758620689655E-2</v>
      </c>
      <c r="AB35">
        <f>COUNTIF(AB$6:AB$34,"&gt;=90")</f>
        <v>1</v>
      </c>
      <c r="AC35" s="46">
        <f t="shared" ref="AC35:AC39" si="4">AB35/29</f>
        <v>3.4482758620689655E-2</v>
      </c>
    </row>
    <row r="36" spans="1:29">
      <c r="F36" s="1">
        <f>COUNTIF(F$6:F$34,"&gt;=80")</f>
        <v>25</v>
      </c>
      <c r="G36" s="1">
        <f>COUNTIF(G$6:G$34,"&gt;=80")</f>
        <v>26</v>
      </c>
      <c r="H36" s="1">
        <f>COUNTIF(H$6:H$34,"&gt;=80")</f>
        <v>27</v>
      </c>
      <c r="I36" s="48">
        <f>COUNTIF(I$6:I$34,"&gt;=80")/29</f>
        <v>0.86206896551724133</v>
      </c>
      <c r="Z36">
        <f>COUNTIF(Z$6:Z$34,"&gt;=80")</f>
        <v>3</v>
      </c>
      <c r="AA36" s="46">
        <f>Z36/29</f>
        <v>0.10344827586206896</v>
      </c>
      <c r="AB36">
        <f>COUNTIF(AB$6:AB$34,"&gt;=80")</f>
        <v>5</v>
      </c>
      <c r="AC36" s="46">
        <f t="shared" si="4"/>
        <v>0.17241379310344829</v>
      </c>
    </row>
    <row r="37" spans="1:29">
      <c r="F37" s="1">
        <f>COUNTIF(F$6:F$34,"&gt;=70")</f>
        <v>28</v>
      </c>
      <c r="G37" s="1">
        <f>COUNTIF(G$6:G$34,"&gt;=70")</f>
        <v>28</v>
      </c>
      <c r="H37" s="1">
        <f>COUNTIF(H$6:H$34,"&gt;=70")</f>
        <v>28</v>
      </c>
      <c r="I37" s="48">
        <f>COUNTIF(I$6:I$34,"&gt;=70")/29</f>
        <v>0.96551724137931039</v>
      </c>
      <c r="Z37">
        <f>COUNTIF(Z$6:Z$34,"&gt;=70")</f>
        <v>6</v>
      </c>
      <c r="AA37" s="46">
        <f>Z37/29</f>
        <v>0.20689655172413793</v>
      </c>
      <c r="AB37">
        <f>COUNTIF(AB$6:AB$34,"&gt;=70")</f>
        <v>13</v>
      </c>
      <c r="AC37" s="46">
        <f t="shared" si="4"/>
        <v>0.44827586206896552</v>
      </c>
    </row>
    <row r="38" spans="1:29">
      <c r="F38" s="1">
        <f>COUNTIF(F$6:F$34,"&gt;=0")</f>
        <v>29</v>
      </c>
      <c r="G38" s="1">
        <f>COUNTIF(G$6:G$34,"&gt;=0")</f>
        <v>29</v>
      </c>
      <c r="H38" s="1">
        <f>COUNTIF(H$6:H$34,"&gt;=0")</f>
        <v>29</v>
      </c>
      <c r="I38" s="48">
        <f>COUNTIF(I$6:I$34,"&gt;=0")/29</f>
        <v>1</v>
      </c>
      <c r="Z38">
        <f>COUNTIF(Z$6:Z$34,"&gt;=60")</f>
        <v>14</v>
      </c>
      <c r="AA38" s="46">
        <f>Z38/29</f>
        <v>0.48275862068965519</v>
      </c>
      <c r="AB38">
        <f>COUNTIF(AB$6:AB$34,"&gt;=60")</f>
        <v>26</v>
      </c>
      <c r="AC38" s="46">
        <f t="shared" si="4"/>
        <v>0.89655172413793105</v>
      </c>
    </row>
    <row r="39" spans="1:29">
      <c r="Z39">
        <f>COUNTIF(Z$6:Z$34,"&gt;=30")</f>
        <v>29</v>
      </c>
      <c r="AA39" s="46">
        <f>Z39/29</f>
        <v>1</v>
      </c>
      <c r="AB39">
        <f>COUNTIF(AB$6:AB$34,"&gt;=30")</f>
        <v>29</v>
      </c>
      <c r="AC39" s="46">
        <f t="shared" si="4"/>
        <v>1</v>
      </c>
    </row>
    <row r="40" spans="1:29">
      <c r="Z40">
        <f>AVERAGE(Z6:Z34)</f>
        <v>59.896551724137929</v>
      </c>
      <c r="AA40"/>
      <c r="AB40">
        <f>AVERAGE(AB6:AB34)</f>
        <v>69.783908045977</v>
      </c>
    </row>
    <row r="41" spans="1:29">
      <c r="Z41">
        <f>STDEV(Z6:Z34)</f>
        <v>13.489003001350529</v>
      </c>
      <c r="AA41"/>
      <c r="AB41">
        <f>STDEV(AB6:AB34)</f>
        <v>10.248940114345247</v>
      </c>
    </row>
  </sheetData>
  <mergeCells count="15">
    <mergeCell ref="P4:P5"/>
    <mergeCell ref="AC4:AC5"/>
    <mergeCell ref="G2:J3"/>
    <mergeCell ref="K2:M3"/>
    <mergeCell ref="A3:B3"/>
    <mergeCell ref="A4:A5"/>
    <mergeCell ref="B4:B5"/>
    <mergeCell ref="D4:D5"/>
    <mergeCell ref="E4:E5"/>
    <mergeCell ref="A1:B1"/>
    <mergeCell ref="D1:F1"/>
    <mergeCell ref="G1:J1"/>
    <mergeCell ref="K1:M1"/>
    <mergeCell ref="A2:B2"/>
    <mergeCell ref="D2:F2"/>
  </mergeCells>
  <phoneticPr fontId="18" type="noConversion"/>
  <conditionalFormatting sqref="AB6:AB34">
    <cfRule type="cellIs" dxfId="15" priority="1" operator="lessThan">
      <formula>60</formula>
    </cfRule>
  </conditionalFormatting>
  <conditionalFormatting sqref="AD6:AD14">
    <cfRule type="cellIs" dxfId="14" priority="3" operator="lessThan">
      <formula>60</formula>
    </cfRule>
  </conditionalFormatting>
  <conditionalFormatting sqref="AE6:AE24">
    <cfRule type="cellIs" dxfId="13" priority="2" operator="lessThan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1"/>
  <sheetViews>
    <sheetView zoomScale="70" zoomScaleNormal="70" workbookViewId="0">
      <selection sqref="A1:O34"/>
    </sheetView>
  </sheetViews>
  <sheetFormatPr defaultColWidth="10" defaultRowHeight="14.25"/>
  <cols>
    <col min="1" max="1" width="10" style="1"/>
    <col min="2" max="2" width="14.875" style="1" customWidth="1"/>
    <col min="3" max="15" width="10" style="1"/>
    <col min="16" max="18" width="10" style="52"/>
    <col min="19" max="21" width="10" style="1"/>
    <col min="22" max="24" width="10" style="52"/>
    <col min="25" max="26" width="10" style="1"/>
    <col min="27" max="27" width="12.625" style="1"/>
    <col min="28" max="16384" width="10" style="1"/>
  </cols>
  <sheetData>
    <row r="1" spans="1:28" ht="17.25">
      <c r="A1" s="55" t="s">
        <v>0</v>
      </c>
      <c r="B1" s="56"/>
      <c r="C1" s="55" t="s">
        <v>1</v>
      </c>
      <c r="D1" s="57"/>
      <c r="E1" s="57"/>
      <c r="F1" s="58" t="s">
        <v>2</v>
      </c>
      <c r="G1" s="59"/>
      <c r="H1" s="59"/>
      <c r="I1" s="59"/>
      <c r="J1" s="55" t="s">
        <v>3</v>
      </c>
      <c r="K1" s="55"/>
      <c r="L1" s="55"/>
      <c r="AB1" s="3" t="s">
        <v>1</v>
      </c>
    </row>
    <row r="2" spans="1:28" ht="17.25">
      <c r="A2" s="60" t="s">
        <v>4</v>
      </c>
      <c r="B2" s="61"/>
      <c r="C2" s="55" t="s">
        <v>79</v>
      </c>
      <c r="D2" s="57"/>
      <c r="E2" s="57"/>
      <c r="F2" s="69" t="s">
        <v>6</v>
      </c>
      <c r="G2" s="70"/>
      <c r="H2" s="70"/>
      <c r="I2" s="70"/>
      <c r="J2" s="72" t="s">
        <v>7</v>
      </c>
      <c r="K2" s="73"/>
      <c r="L2" s="73"/>
      <c r="AB2" s="3" t="s">
        <v>79</v>
      </c>
    </row>
    <row r="3" spans="1:28" ht="17.25">
      <c r="A3" s="62" t="s">
        <v>8</v>
      </c>
      <c r="B3" s="61"/>
      <c r="C3" s="3"/>
      <c r="D3" s="3"/>
      <c r="E3" s="17"/>
      <c r="F3" s="71"/>
      <c r="G3" s="71"/>
      <c r="H3" s="71"/>
      <c r="I3" s="71"/>
      <c r="J3" s="73"/>
      <c r="K3" s="73"/>
      <c r="L3" s="73"/>
      <c r="AB3" s="3"/>
    </row>
    <row r="4" spans="1:28" ht="16.5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79" t="s">
        <v>33</v>
      </c>
      <c r="P4" s="52" t="s">
        <v>8</v>
      </c>
      <c r="AB4" s="65" t="s">
        <v>11</v>
      </c>
    </row>
    <row r="5" spans="1:28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80"/>
      <c r="P5" s="52" t="s">
        <v>37</v>
      </c>
      <c r="Q5" s="52" t="s">
        <v>38</v>
      </c>
      <c r="R5" s="52" t="s">
        <v>39</v>
      </c>
      <c r="S5" s="1" t="s">
        <v>40</v>
      </c>
      <c r="T5" s="1" t="s">
        <v>41</v>
      </c>
      <c r="U5" s="1" t="s">
        <v>42</v>
      </c>
      <c r="V5" s="52" t="s">
        <v>43</v>
      </c>
      <c r="W5" s="52" t="s">
        <v>44</v>
      </c>
      <c r="X5" s="52" t="s">
        <v>45</v>
      </c>
      <c r="Y5" s="1" t="s">
        <v>46</v>
      </c>
      <c r="Z5" s="1" t="s">
        <v>47</v>
      </c>
      <c r="AA5" s="1" t="s">
        <v>17</v>
      </c>
      <c r="AB5" s="66"/>
    </row>
    <row r="6" spans="1:28" ht="17.100000000000001" customHeight="1">
      <c r="A6" s="7" t="s">
        <v>139</v>
      </c>
      <c r="B6" s="7" t="s">
        <v>140</v>
      </c>
      <c r="C6" s="7" t="s">
        <v>141</v>
      </c>
      <c r="D6" s="7" t="s">
        <v>50</v>
      </c>
      <c r="E6" s="7">
        <v>85</v>
      </c>
      <c r="F6" s="7">
        <v>90</v>
      </c>
      <c r="G6" s="7">
        <v>0</v>
      </c>
      <c r="H6" s="7">
        <v>90</v>
      </c>
      <c r="I6" s="7">
        <v>95</v>
      </c>
      <c r="J6" s="7">
        <v>95</v>
      </c>
      <c r="K6" s="7">
        <v>95</v>
      </c>
      <c r="L6" s="7">
        <v>100</v>
      </c>
      <c r="M6" s="7">
        <v>100</v>
      </c>
      <c r="N6" s="7">
        <v>100</v>
      </c>
      <c r="O6" s="38">
        <f t="shared" ref="O6:O34" si="0">(AVERAGE(E6:H6)+AVERAGE(I6:K6)+AVERAGE(L6:N6))/3</f>
        <v>87.083333333333329</v>
      </c>
      <c r="P6" s="38">
        <v>20</v>
      </c>
      <c r="Q6" s="38">
        <v>6</v>
      </c>
      <c r="R6" s="38">
        <v>10</v>
      </c>
      <c r="S6" s="38">
        <v>10</v>
      </c>
      <c r="T6" s="38">
        <v>0</v>
      </c>
      <c r="U6" s="38">
        <v>0</v>
      </c>
      <c r="V6" s="38">
        <v>3</v>
      </c>
      <c r="W6" s="38">
        <v>7</v>
      </c>
      <c r="X6" s="38">
        <v>10</v>
      </c>
      <c r="Y6" s="41">
        <f t="shared" ref="Y6:Y34" si="1">SUM(P6:X6)</f>
        <v>66</v>
      </c>
      <c r="Z6" s="38">
        <f t="shared" ref="Z6:Z34" si="2">O6</f>
        <v>87.083333333333329</v>
      </c>
      <c r="AA6" s="42">
        <f t="shared" ref="AA6:AA34" si="3">Y6*0.7+Z6*0.3</f>
        <v>72.324999999999989</v>
      </c>
      <c r="AB6" s="38" t="s">
        <v>141</v>
      </c>
    </row>
    <row r="7" spans="1:28" ht="17.100000000000001" customHeight="1">
      <c r="A7" s="7" t="s">
        <v>139</v>
      </c>
      <c r="B7" s="7" t="s">
        <v>142</v>
      </c>
      <c r="C7" s="7" t="s">
        <v>143</v>
      </c>
      <c r="D7" s="7" t="s">
        <v>50</v>
      </c>
      <c r="E7" s="7">
        <v>90</v>
      </c>
      <c r="F7" s="7">
        <v>90</v>
      </c>
      <c r="G7" s="7">
        <v>90</v>
      </c>
      <c r="H7" s="7">
        <v>90</v>
      </c>
      <c r="I7" s="7">
        <v>100</v>
      </c>
      <c r="J7" s="7">
        <v>95</v>
      </c>
      <c r="K7" s="7">
        <v>95</v>
      </c>
      <c r="L7" s="7">
        <v>100</v>
      </c>
      <c r="M7" s="7">
        <v>100</v>
      </c>
      <c r="N7" s="7">
        <v>100</v>
      </c>
      <c r="O7" s="38">
        <f t="shared" si="0"/>
        <v>95.555555555555557</v>
      </c>
      <c r="P7" s="38">
        <v>15</v>
      </c>
      <c r="Q7" s="38">
        <v>5</v>
      </c>
      <c r="R7" s="38">
        <v>9</v>
      </c>
      <c r="S7" s="38">
        <v>10</v>
      </c>
      <c r="T7" s="38">
        <v>2</v>
      </c>
      <c r="U7" s="38">
        <v>8</v>
      </c>
      <c r="V7" s="38">
        <v>7</v>
      </c>
      <c r="W7" s="38">
        <v>1</v>
      </c>
      <c r="X7" s="38">
        <v>7</v>
      </c>
      <c r="Y7" s="41">
        <f t="shared" si="1"/>
        <v>64</v>
      </c>
      <c r="Z7" s="38">
        <f t="shared" si="2"/>
        <v>95.555555555555557</v>
      </c>
      <c r="AA7" s="42">
        <f t="shared" si="3"/>
        <v>73.466666666666669</v>
      </c>
      <c r="AB7" s="38" t="s">
        <v>143</v>
      </c>
    </row>
    <row r="8" spans="1:28" ht="17.100000000000001" customHeight="1">
      <c r="A8" s="7" t="s">
        <v>139</v>
      </c>
      <c r="B8" s="7" t="s">
        <v>144</v>
      </c>
      <c r="C8" s="7" t="s">
        <v>145</v>
      </c>
      <c r="D8" s="7" t="s">
        <v>50</v>
      </c>
      <c r="E8" s="7">
        <v>90</v>
      </c>
      <c r="F8" s="7">
        <v>85</v>
      </c>
      <c r="G8" s="7">
        <v>85</v>
      </c>
      <c r="H8" s="7">
        <v>85</v>
      </c>
      <c r="I8" s="7">
        <v>90</v>
      </c>
      <c r="J8" s="7">
        <v>95</v>
      </c>
      <c r="K8" s="7">
        <v>95</v>
      </c>
      <c r="L8" s="7">
        <v>100</v>
      </c>
      <c r="M8" s="7">
        <v>100</v>
      </c>
      <c r="N8" s="7">
        <v>100</v>
      </c>
      <c r="O8" s="38">
        <f t="shared" si="0"/>
        <v>93.194444444444443</v>
      </c>
      <c r="P8" s="38">
        <v>15</v>
      </c>
      <c r="Q8" s="38">
        <v>7</v>
      </c>
      <c r="R8" s="38">
        <v>9</v>
      </c>
      <c r="S8" s="38">
        <v>10</v>
      </c>
      <c r="T8" s="38">
        <v>4</v>
      </c>
      <c r="U8" s="38">
        <v>6</v>
      </c>
      <c r="V8" s="38">
        <v>6</v>
      </c>
      <c r="W8" s="38">
        <v>3</v>
      </c>
      <c r="X8" s="38">
        <v>5</v>
      </c>
      <c r="Y8" s="41">
        <f t="shared" si="1"/>
        <v>65</v>
      </c>
      <c r="Z8" s="38">
        <f t="shared" si="2"/>
        <v>93.194444444444443</v>
      </c>
      <c r="AA8" s="42">
        <f t="shared" si="3"/>
        <v>73.458333333333329</v>
      </c>
      <c r="AB8" s="38" t="s">
        <v>145</v>
      </c>
    </row>
    <row r="9" spans="1:28" ht="17.100000000000001" customHeight="1">
      <c r="A9" s="7" t="s">
        <v>139</v>
      </c>
      <c r="B9" s="7" t="s">
        <v>146</v>
      </c>
      <c r="C9" s="7" t="s">
        <v>147</v>
      </c>
      <c r="D9" s="7" t="s">
        <v>50</v>
      </c>
      <c r="E9" s="7">
        <v>90</v>
      </c>
      <c r="F9" s="7">
        <v>90</v>
      </c>
      <c r="G9" s="7">
        <v>90</v>
      </c>
      <c r="H9" s="7">
        <v>90</v>
      </c>
      <c r="I9" s="7">
        <v>95</v>
      </c>
      <c r="J9" s="7">
        <v>95</v>
      </c>
      <c r="K9" s="7">
        <v>95</v>
      </c>
      <c r="L9" s="7">
        <v>100</v>
      </c>
      <c r="M9" s="7">
        <v>100</v>
      </c>
      <c r="N9" s="7">
        <v>100</v>
      </c>
      <c r="O9" s="38">
        <f t="shared" si="0"/>
        <v>95</v>
      </c>
      <c r="P9" s="38">
        <v>20</v>
      </c>
      <c r="Q9" s="38">
        <v>7</v>
      </c>
      <c r="R9" s="38">
        <v>9</v>
      </c>
      <c r="S9" s="38">
        <v>0</v>
      </c>
      <c r="T9" s="38">
        <v>0</v>
      </c>
      <c r="U9" s="38">
        <v>8</v>
      </c>
      <c r="V9" s="38">
        <v>8</v>
      </c>
      <c r="W9" s="38">
        <v>10</v>
      </c>
      <c r="X9" s="38">
        <v>7</v>
      </c>
      <c r="Y9" s="41">
        <f t="shared" si="1"/>
        <v>69</v>
      </c>
      <c r="Z9" s="38">
        <f t="shared" si="2"/>
        <v>95</v>
      </c>
      <c r="AA9" s="42">
        <f t="shared" si="3"/>
        <v>76.8</v>
      </c>
      <c r="AB9" s="38" t="s">
        <v>147</v>
      </c>
    </row>
    <row r="10" spans="1:28" ht="17.100000000000001" customHeight="1">
      <c r="A10" s="7" t="s">
        <v>139</v>
      </c>
      <c r="B10" s="7" t="s">
        <v>148</v>
      </c>
      <c r="C10" s="7" t="s">
        <v>149</v>
      </c>
      <c r="D10" s="7" t="s">
        <v>50</v>
      </c>
      <c r="E10" s="7">
        <v>95</v>
      </c>
      <c r="F10" s="7">
        <v>100</v>
      </c>
      <c r="G10" s="7">
        <v>95</v>
      </c>
      <c r="H10" s="7">
        <v>95</v>
      </c>
      <c r="I10" s="7">
        <v>100</v>
      </c>
      <c r="J10" s="7">
        <v>95</v>
      </c>
      <c r="K10" s="7">
        <v>95</v>
      </c>
      <c r="L10" s="7">
        <v>100</v>
      </c>
      <c r="M10" s="7">
        <v>100</v>
      </c>
      <c r="N10" s="7">
        <v>100</v>
      </c>
      <c r="O10" s="38">
        <f t="shared" si="0"/>
        <v>97.6388888888889</v>
      </c>
      <c r="P10" s="38">
        <v>16</v>
      </c>
      <c r="Q10" s="38">
        <v>6</v>
      </c>
      <c r="R10" s="38">
        <v>10</v>
      </c>
      <c r="S10" s="38">
        <v>10</v>
      </c>
      <c r="T10" s="38">
        <v>2</v>
      </c>
      <c r="U10" s="38">
        <v>6</v>
      </c>
      <c r="V10" s="38">
        <v>6</v>
      </c>
      <c r="W10" s="38">
        <v>1</v>
      </c>
      <c r="X10" s="38">
        <v>5</v>
      </c>
      <c r="Y10" s="41">
        <f t="shared" si="1"/>
        <v>62</v>
      </c>
      <c r="Z10" s="38">
        <f t="shared" si="2"/>
        <v>97.6388888888889</v>
      </c>
      <c r="AA10" s="42">
        <f t="shared" si="3"/>
        <v>72.691666666666663</v>
      </c>
      <c r="AB10" s="38" t="s">
        <v>149</v>
      </c>
    </row>
    <row r="11" spans="1:28" ht="17.100000000000001" customHeight="1">
      <c r="A11" s="7" t="s">
        <v>139</v>
      </c>
      <c r="B11" s="7" t="s">
        <v>150</v>
      </c>
      <c r="C11" s="7" t="s">
        <v>151</v>
      </c>
      <c r="D11" s="7" t="s">
        <v>52</v>
      </c>
      <c r="E11" s="7">
        <v>95</v>
      </c>
      <c r="F11" s="7">
        <v>100</v>
      </c>
      <c r="G11" s="7">
        <v>95</v>
      </c>
      <c r="H11" s="7">
        <v>85</v>
      </c>
      <c r="I11" s="7">
        <v>90</v>
      </c>
      <c r="J11" s="7">
        <v>95</v>
      </c>
      <c r="K11" s="7">
        <v>95</v>
      </c>
      <c r="L11" s="7">
        <v>100</v>
      </c>
      <c r="M11" s="7">
        <v>100</v>
      </c>
      <c r="N11" s="7">
        <v>100</v>
      </c>
      <c r="O11" s="38">
        <f t="shared" si="0"/>
        <v>95.694444444444443</v>
      </c>
      <c r="P11" s="38">
        <v>16</v>
      </c>
      <c r="Q11" s="38">
        <v>5</v>
      </c>
      <c r="R11" s="38">
        <v>10</v>
      </c>
      <c r="S11" s="38">
        <v>10</v>
      </c>
      <c r="T11" s="38">
        <v>6</v>
      </c>
      <c r="U11" s="38">
        <v>8</v>
      </c>
      <c r="V11" s="38">
        <v>7</v>
      </c>
      <c r="W11" s="38">
        <v>3</v>
      </c>
      <c r="X11" s="38">
        <v>7</v>
      </c>
      <c r="Y11" s="41">
        <f t="shared" si="1"/>
        <v>72</v>
      </c>
      <c r="Z11" s="38">
        <f t="shared" si="2"/>
        <v>95.694444444444443</v>
      </c>
      <c r="AA11" s="42">
        <f t="shared" si="3"/>
        <v>79.108333333333334</v>
      </c>
      <c r="AB11" s="38" t="s">
        <v>151</v>
      </c>
    </row>
    <row r="12" spans="1:28" ht="17.100000000000001" customHeight="1">
      <c r="A12" s="7" t="s">
        <v>139</v>
      </c>
      <c r="B12" s="7" t="s">
        <v>152</v>
      </c>
      <c r="C12" s="7" t="s">
        <v>153</v>
      </c>
      <c r="D12" s="7" t="s">
        <v>50</v>
      </c>
      <c r="E12" s="7">
        <v>90</v>
      </c>
      <c r="F12" s="7">
        <v>90</v>
      </c>
      <c r="G12" s="7">
        <v>90</v>
      </c>
      <c r="H12" s="7">
        <v>85</v>
      </c>
      <c r="I12" s="7">
        <v>100</v>
      </c>
      <c r="J12" s="7">
        <v>100</v>
      </c>
      <c r="K12" s="7">
        <v>100</v>
      </c>
      <c r="L12" s="7">
        <v>100</v>
      </c>
      <c r="M12" s="7">
        <v>100</v>
      </c>
      <c r="N12" s="7">
        <v>100</v>
      </c>
      <c r="O12" s="38">
        <f t="shared" si="0"/>
        <v>96.25</v>
      </c>
      <c r="P12" s="38">
        <v>16</v>
      </c>
      <c r="Q12" s="38">
        <v>7</v>
      </c>
      <c r="R12" s="38">
        <v>8</v>
      </c>
      <c r="S12" s="38">
        <v>10</v>
      </c>
      <c r="T12" s="38">
        <v>0</v>
      </c>
      <c r="U12" s="38">
        <v>8</v>
      </c>
      <c r="V12" s="38">
        <v>2</v>
      </c>
      <c r="W12" s="38">
        <v>10</v>
      </c>
      <c r="X12" s="38">
        <v>7</v>
      </c>
      <c r="Y12" s="41">
        <f t="shared" si="1"/>
        <v>68</v>
      </c>
      <c r="Z12" s="38">
        <f t="shared" si="2"/>
        <v>96.25</v>
      </c>
      <c r="AA12" s="42">
        <f t="shared" si="3"/>
        <v>76.474999999999994</v>
      </c>
      <c r="AB12" s="38" t="s">
        <v>153</v>
      </c>
    </row>
    <row r="13" spans="1:28" ht="17.100000000000001" customHeight="1">
      <c r="A13" s="7" t="s">
        <v>139</v>
      </c>
      <c r="B13" s="7" t="s">
        <v>154</v>
      </c>
      <c r="C13" s="7" t="s">
        <v>155</v>
      </c>
      <c r="D13" s="7" t="s">
        <v>50</v>
      </c>
      <c r="E13" s="7">
        <v>85</v>
      </c>
      <c r="F13" s="7">
        <v>85</v>
      </c>
      <c r="G13" s="7">
        <v>90</v>
      </c>
      <c r="H13" s="7">
        <v>90</v>
      </c>
      <c r="I13" s="7">
        <v>95</v>
      </c>
      <c r="J13" s="7">
        <v>95</v>
      </c>
      <c r="K13" s="7">
        <v>95</v>
      </c>
      <c r="L13" s="7">
        <v>100</v>
      </c>
      <c r="M13" s="7">
        <v>100</v>
      </c>
      <c r="N13" s="7">
        <v>100</v>
      </c>
      <c r="O13" s="38">
        <f t="shared" si="0"/>
        <v>94.166666666666671</v>
      </c>
      <c r="P13" s="38">
        <v>16</v>
      </c>
      <c r="Q13" s="38">
        <v>0</v>
      </c>
      <c r="R13" s="38">
        <v>9</v>
      </c>
      <c r="S13" s="38">
        <v>10</v>
      </c>
      <c r="T13" s="38">
        <v>6</v>
      </c>
      <c r="U13" s="38">
        <v>6</v>
      </c>
      <c r="V13" s="38">
        <v>0</v>
      </c>
      <c r="W13" s="38">
        <v>10</v>
      </c>
      <c r="X13" s="38">
        <v>5</v>
      </c>
      <c r="Y13" s="41">
        <f t="shared" si="1"/>
        <v>62</v>
      </c>
      <c r="Z13" s="38">
        <f t="shared" si="2"/>
        <v>94.166666666666671</v>
      </c>
      <c r="AA13" s="42">
        <f t="shared" si="3"/>
        <v>71.650000000000006</v>
      </c>
      <c r="AB13" s="38" t="s">
        <v>155</v>
      </c>
    </row>
    <row r="14" spans="1:28" ht="17.100000000000001" customHeight="1">
      <c r="A14" s="7" t="s">
        <v>139</v>
      </c>
      <c r="B14" s="7" t="s">
        <v>156</v>
      </c>
      <c r="C14" s="9" t="s">
        <v>157</v>
      </c>
      <c r="D14" s="7" t="s">
        <v>52</v>
      </c>
      <c r="E14" s="7">
        <v>100</v>
      </c>
      <c r="F14" s="7">
        <v>100</v>
      </c>
      <c r="G14" s="7">
        <v>100</v>
      </c>
      <c r="H14" s="7">
        <v>95</v>
      </c>
      <c r="I14" s="7">
        <v>95</v>
      </c>
      <c r="J14" s="7">
        <v>95</v>
      </c>
      <c r="K14" s="7">
        <v>95</v>
      </c>
      <c r="L14" s="7">
        <v>100</v>
      </c>
      <c r="M14" s="7">
        <v>100</v>
      </c>
      <c r="N14" s="7">
        <v>100</v>
      </c>
      <c r="O14" s="38">
        <f t="shared" si="0"/>
        <v>97.916666666666671</v>
      </c>
      <c r="P14" s="38">
        <v>20</v>
      </c>
      <c r="Q14" s="38">
        <v>9</v>
      </c>
      <c r="R14" s="38">
        <v>10</v>
      </c>
      <c r="S14" s="38">
        <v>10</v>
      </c>
      <c r="T14" s="38">
        <v>6</v>
      </c>
      <c r="U14" s="38">
        <v>8</v>
      </c>
      <c r="V14" s="38">
        <v>6</v>
      </c>
      <c r="W14" s="38">
        <v>10</v>
      </c>
      <c r="X14" s="38">
        <v>8</v>
      </c>
      <c r="Y14" s="41">
        <f t="shared" si="1"/>
        <v>87</v>
      </c>
      <c r="Z14" s="38">
        <f t="shared" si="2"/>
        <v>97.916666666666671</v>
      </c>
      <c r="AA14" s="42">
        <f t="shared" si="3"/>
        <v>90.275000000000006</v>
      </c>
      <c r="AB14" s="38" t="s">
        <v>157</v>
      </c>
    </row>
    <row r="15" spans="1:28" ht="17.100000000000001" customHeight="1">
      <c r="A15" s="7" t="s">
        <v>139</v>
      </c>
      <c r="B15" s="7" t="s">
        <v>158</v>
      </c>
      <c r="C15" s="7" t="s">
        <v>159</v>
      </c>
      <c r="D15" s="7" t="s">
        <v>50</v>
      </c>
      <c r="E15" s="7">
        <v>95</v>
      </c>
      <c r="F15" s="7">
        <v>95</v>
      </c>
      <c r="G15" s="7">
        <v>0</v>
      </c>
      <c r="H15" s="7">
        <v>90</v>
      </c>
      <c r="I15" s="7">
        <v>90</v>
      </c>
      <c r="J15" s="7">
        <v>95</v>
      </c>
      <c r="K15" s="7">
        <v>95</v>
      </c>
      <c r="L15" s="7">
        <v>100</v>
      </c>
      <c r="M15" s="7">
        <v>100</v>
      </c>
      <c r="N15" s="7">
        <v>100</v>
      </c>
      <c r="O15" s="38">
        <f t="shared" si="0"/>
        <v>87.777777777777771</v>
      </c>
      <c r="P15" s="38">
        <v>12</v>
      </c>
      <c r="Q15" s="38">
        <v>6</v>
      </c>
      <c r="R15" s="38">
        <v>10</v>
      </c>
      <c r="S15" s="38">
        <v>10</v>
      </c>
      <c r="T15" s="38">
        <v>4</v>
      </c>
      <c r="U15" s="38">
        <v>2</v>
      </c>
      <c r="V15" s="38">
        <v>2</v>
      </c>
      <c r="W15" s="38">
        <v>10</v>
      </c>
      <c r="X15" s="38">
        <v>6</v>
      </c>
      <c r="Y15" s="41">
        <f t="shared" si="1"/>
        <v>62</v>
      </c>
      <c r="Z15" s="38">
        <f t="shared" si="2"/>
        <v>87.777777777777771</v>
      </c>
      <c r="AA15" s="42">
        <f t="shared" si="3"/>
        <v>69.733333333333334</v>
      </c>
      <c r="AB15" s="38" t="s">
        <v>159</v>
      </c>
    </row>
    <row r="16" spans="1:28" ht="17.100000000000001" customHeight="1">
      <c r="A16" s="7" t="s">
        <v>139</v>
      </c>
      <c r="B16" s="7" t="s">
        <v>160</v>
      </c>
      <c r="C16" s="7" t="s">
        <v>161</v>
      </c>
      <c r="D16" s="7" t="s">
        <v>50</v>
      </c>
      <c r="E16" s="7">
        <v>95</v>
      </c>
      <c r="F16" s="7">
        <v>100</v>
      </c>
      <c r="G16" s="7">
        <v>90</v>
      </c>
      <c r="H16" s="7">
        <v>95</v>
      </c>
      <c r="I16" s="7">
        <v>90</v>
      </c>
      <c r="J16" s="7">
        <v>95</v>
      </c>
      <c r="K16" s="7">
        <v>95</v>
      </c>
      <c r="L16" s="7">
        <v>100</v>
      </c>
      <c r="M16" s="7">
        <v>100</v>
      </c>
      <c r="N16" s="7">
        <v>100</v>
      </c>
      <c r="O16" s="38">
        <f t="shared" si="0"/>
        <v>96.1111111111111</v>
      </c>
      <c r="P16" s="38">
        <v>16</v>
      </c>
      <c r="Q16" s="38">
        <v>6</v>
      </c>
      <c r="R16" s="38">
        <v>8</v>
      </c>
      <c r="S16" s="38">
        <v>10</v>
      </c>
      <c r="T16" s="38">
        <v>4</v>
      </c>
      <c r="U16" s="38">
        <v>6</v>
      </c>
      <c r="V16" s="38">
        <v>0</v>
      </c>
      <c r="W16" s="38">
        <v>5</v>
      </c>
      <c r="X16" s="38">
        <v>5</v>
      </c>
      <c r="Y16" s="41">
        <f t="shared" si="1"/>
        <v>60</v>
      </c>
      <c r="Z16" s="38">
        <f t="shared" si="2"/>
        <v>96.1111111111111</v>
      </c>
      <c r="AA16" s="42">
        <f t="shared" si="3"/>
        <v>70.833333333333329</v>
      </c>
      <c r="AB16" s="38" t="s">
        <v>161</v>
      </c>
    </row>
    <row r="17" spans="1:28" ht="17.100000000000001" customHeight="1">
      <c r="A17" s="7" t="s">
        <v>139</v>
      </c>
      <c r="B17" s="7" t="s">
        <v>162</v>
      </c>
      <c r="C17" s="7" t="s">
        <v>163</v>
      </c>
      <c r="D17" s="7" t="s">
        <v>50</v>
      </c>
      <c r="E17" s="7">
        <v>100</v>
      </c>
      <c r="F17" s="7">
        <v>90</v>
      </c>
      <c r="G17" s="7">
        <v>85</v>
      </c>
      <c r="H17" s="7">
        <v>85</v>
      </c>
      <c r="I17" s="7">
        <v>90</v>
      </c>
      <c r="J17" s="7">
        <v>95</v>
      </c>
      <c r="K17" s="7">
        <v>95</v>
      </c>
      <c r="L17" s="7">
        <v>90</v>
      </c>
      <c r="M17" s="7">
        <v>100</v>
      </c>
      <c r="N17" s="7">
        <v>100</v>
      </c>
      <c r="O17" s="38">
        <f t="shared" si="0"/>
        <v>93.333333333333329</v>
      </c>
      <c r="P17" s="38">
        <v>12</v>
      </c>
      <c r="Q17" s="38">
        <v>7</v>
      </c>
      <c r="R17" s="38">
        <v>10</v>
      </c>
      <c r="S17" s="38">
        <v>10</v>
      </c>
      <c r="T17" s="38">
        <v>0</v>
      </c>
      <c r="U17" s="38">
        <v>6</v>
      </c>
      <c r="V17" s="38">
        <v>4</v>
      </c>
      <c r="W17" s="38">
        <v>6</v>
      </c>
      <c r="X17" s="38">
        <v>5</v>
      </c>
      <c r="Y17" s="41">
        <f t="shared" si="1"/>
        <v>60</v>
      </c>
      <c r="Z17" s="38">
        <f t="shared" si="2"/>
        <v>93.333333333333329</v>
      </c>
      <c r="AA17" s="42">
        <f t="shared" si="3"/>
        <v>70</v>
      </c>
      <c r="AB17" s="38" t="s">
        <v>163</v>
      </c>
    </row>
    <row r="18" spans="1:28" ht="17.100000000000001" customHeight="1">
      <c r="A18" s="7" t="s">
        <v>139</v>
      </c>
      <c r="B18" s="7" t="s">
        <v>164</v>
      </c>
      <c r="C18" s="7" t="s">
        <v>165</v>
      </c>
      <c r="D18" s="7" t="s">
        <v>50</v>
      </c>
      <c r="E18" s="7">
        <v>95</v>
      </c>
      <c r="F18" s="7">
        <v>100</v>
      </c>
      <c r="G18" s="7">
        <v>100</v>
      </c>
      <c r="H18" s="7">
        <v>95</v>
      </c>
      <c r="I18" s="7">
        <v>90</v>
      </c>
      <c r="J18" s="7">
        <v>95</v>
      </c>
      <c r="K18" s="7">
        <v>95</v>
      </c>
      <c r="L18" s="7">
        <v>100</v>
      </c>
      <c r="M18" s="7">
        <v>100</v>
      </c>
      <c r="N18" s="7">
        <v>100</v>
      </c>
      <c r="O18" s="38">
        <f t="shared" si="0"/>
        <v>96.944444444444443</v>
      </c>
      <c r="P18" s="38">
        <v>16</v>
      </c>
      <c r="Q18" s="38">
        <v>7</v>
      </c>
      <c r="R18" s="38">
        <v>9</v>
      </c>
      <c r="S18" s="38">
        <v>10</v>
      </c>
      <c r="T18" s="38">
        <v>0</v>
      </c>
      <c r="U18" s="38">
        <v>6</v>
      </c>
      <c r="V18" s="38">
        <v>8</v>
      </c>
      <c r="W18" s="38">
        <v>6</v>
      </c>
      <c r="X18" s="38">
        <v>5</v>
      </c>
      <c r="Y18" s="41">
        <f t="shared" si="1"/>
        <v>67</v>
      </c>
      <c r="Z18" s="38">
        <f t="shared" si="2"/>
        <v>96.944444444444443</v>
      </c>
      <c r="AA18" s="42">
        <f t="shared" si="3"/>
        <v>75.983333333333334</v>
      </c>
      <c r="AB18" s="38" t="s">
        <v>165</v>
      </c>
    </row>
    <row r="19" spans="1:28" ht="17.100000000000001" customHeight="1">
      <c r="A19" s="7" t="s">
        <v>139</v>
      </c>
      <c r="B19" s="7" t="s">
        <v>166</v>
      </c>
      <c r="C19" s="7" t="s">
        <v>167</v>
      </c>
      <c r="D19" s="7" t="s">
        <v>50</v>
      </c>
      <c r="E19" s="7">
        <v>95</v>
      </c>
      <c r="F19" s="7">
        <v>85</v>
      </c>
      <c r="G19" s="7">
        <v>85</v>
      </c>
      <c r="H19" s="7">
        <v>90</v>
      </c>
      <c r="I19" s="7">
        <v>100</v>
      </c>
      <c r="J19" s="7">
        <v>95</v>
      </c>
      <c r="K19" s="7">
        <v>100</v>
      </c>
      <c r="L19" s="7">
        <v>100</v>
      </c>
      <c r="M19" s="7">
        <v>100</v>
      </c>
      <c r="N19" s="7">
        <v>100</v>
      </c>
      <c r="O19" s="38">
        <f t="shared" si="0"/>
        <v>95.694444444444443</v>
      </c>
      <c r="P19" s="38">
        <v>16</v>
      </c>
      <c r="Q19" s="38">
        <v>7</v>
      </c>
      <c r="R19" s="38">
        <v>9</v>
      </c>
      <c r="S19" s="38">
        <v>10</v>
      </c>
      <c r="T19" s="38">
        <v>2</v>
      </c>
      <c r="U19" s="38">
        <v>8</v>
      </c>
      <c r="V19" s="38">
        <v>0</v>
      </c>
      <c r="W19" s="38">
        <v>5</v>
      </c>
      <c r="X19" s="38">
        <v>5</v>
      </c>
      <c r="Y19" s="41">
        <f t="shared" si="1"/>
        <v>62</v>
      </c>
      <c r="Z19" s="38">
        <f t="shared" si="2"/>
        <v>95.694444444444443</v>
      </c>
      <c r="AA19" s="42">
        <f t="shared" si="3"/>
        <v>72.108333333333334</v>
      </c>
      <c r="AB19" s="38" t="s">
        <v>167</v>
      </c>
    </row>
    <row r="20" spans="1:28" ht="17.100000000000001" customHeight="1">
      <c r="A20" s="7" t="s">
        <v>139</v>
      </c>
      <c r="B20" s="7" t="s">
        <v>168</v>
      </c>
      <c r="C20" s="7" t="s">
        <v>169</v>
      </c>
      <c r="D20" s="7" t="s">
        <v>50</v>
      </c>
      <c r="E20" s="7">
        <v>95</v>
      </c>
      <c r="F20" s="7">
        <v>90</v>
      </c>
      <c r="G20" s="7">
        <v>85</v>
      </c>
      <c r="H20" s="7">
        <v>90</v>
      </c>
      <c r="I20" s="7">
        <v>95</v>
      </c>
      <c r="J20" s="7">
        <v>95</v>
      </c>
      <c r="K20" s="7">
        <v>95</v>
      </c>
      <c r="L20" s="7">
        <v>100</v>
      </c>
      <c r="M20" s="7">
        <v>100</v>
      </c>
      <c r="N20" s="7">
        <v>100</v>
      </c>
      <c r="O20" s="38">
        <f t="shared" si="0"/>
        <v>95</v>
      </c>
      <c r="P20" s="38">
        <v>16</v>
      </c>
      <c r="Q20" s="38">
        <v>10</v>
      </c>
      <c r="R20" s="38">
        <v>10</v>
      </c>
      <c r="S20" s="38">
        <v>10</v>
      </c>
      <c r="T20" s="38">
        <v>6</v>
      </c>
      <c r="U20" s="38">
        <v>8</v>
      </c>
      <c r="V20" s="38">
        <v>8</v>
      </c>
      <c r="W20" s="38">
        <v>6</v>
      </c>
      <c r="X20" s="38">
        <v>4</v>
      </c>
      <c r="Y20" s="41">
        <f t="shared" si="1"/>
        <v>78</v>
      </c>
      <c r="Z20" s="38">
        <f t="shared" si="2"/>
        <v>95</v>
      </c>
      <c r="AA20" s="42">
        <f t="shared" si="3"/>
        <v>83.1</v>
      </c>
      <c r="AB20" s="38" t="s">
        <v>169</v>
      </c>
    </row>
    <row r="21" spans="1:28" ht="17.100000000000001" customHeight="1">
      <c r="A21" s="7" t="s">
        <v>139</v>
      </c>
      <c r="B21" s="7" t="s">
        <v>170</v>
      </c>
      <c r="C21" s="7" t="s">
        <v>171</v>
      </c>
      <c r="D21" s="7" t="s">
        <v>50</v>
      </c>
      <c r="E21" s="7">
        <v>85</v>
      </c>
      <c r="F21" s="7">
        <v>90</v>
      </c>
      <c r="G21" s="7">
        <v>85</v>
      </c>
      <c r="H21" s="7">
        <v>80</v>
      </c>
      <c r="I21" s="7">
        <v>85</v>
      </c>
      <c r="J21" s="7">
        <v>100</v>
      </c>
      <c r="K21" s="7">
        <v>95</v>
      </c>
      <c r="L21" s="7">
        <v>90</v>
      </c>
      <c r="M21" s="7">
        <v>100</v>
      </c>
      <c r="N21" s="7">
        <v>100</v>
      </c>
      <c r="O21" s="38">
        <f t="shared" si="0"/>
        <v>91.666666666666671</v>
      </c>
      <c r="P21" s="38">
        <v>8</v>
      </c>
      <c r="Q21" s="38">
        <v>7</v>
      </c>
      <c r="R21" s="38">
        <v>10</v>
      </c>
      <c r="S21" s="38">
        <v>4</v>
      </c>
      <c r="T21" s="38">
        <v>4</v>
      </c>
      <c r="U21" s="38">
        <v>8</v>
      </c>
      <c r="V21" s="38">
        <v>0</v>
      </c>
      <c r="W21" s="38">
        <v>2</v>
      </c>
      <c r="X21" s="38">
        <v>4</v>
      </c>
      <c r="Y21" s="41">
        <f t="shared" si="1"/>
        <v>47</v>
      </c>
      <c r="Z21" s="38">
        <f t="shared" si="2"/>
        <v>91.666666666666671</v>
      </c>
      <c r="AA21" s="42">
        <f t="shared" si="3"/>
        <v>60.4</v>
      </c>
      <c r="AB21" s="38" t="s">
        <v>171</v>
      </c>
    </row>
    <row r="22" spans="1:28" ht="17.100000000000001" customHeight="1">
      <c r="A22" s="7" t="s">
        <v>139</v>
      </c>
      <c r="B22" s="7" t="s">
        <v>172</v>
      </c>
      <c r="C22" s="7" t="s">
        <v>173</v>
      </c>
      <c r="D22" s="7" t="s">
        <v>50</v>
      </c>
      <c r="E22" s="7">
        <v>85</v>
      </c>
      <c r="F22" s="7">
        <v>85</v>
      </c>
      <c r="G22" s="7">
        <v>85</v>
      </c>
      <c r="H22" s="7">
        <v>80</v>
      </c>
      <c r="I22" s="7">
        <v>90</v>
      </c>
      <c r="J22" s="7">
        <v>95</v>
      </c>
      <c r="K22" s="7">
        <v>95</v>
      </c>
      <c r="L22" s="7">
        <v>90</v>
      </c>
      <c r="M22" s="7">
        <v>100</v>
      </c>
      <c r="N22" s="7">
        <v>100</v>
      </c>
      <c r="O22" s="38">
        <f t="shared" si="0"/>
        <v>91.25</v>
      </c>
      <c r="P22" s="38">
        <v>16</v>
      </c>
      <c r="Q22" s="38">
        <v>10</v>
      </c>
      <c r="R22" s="38">
        <v>10</v>
      </c>
      <c r="S22" s="38">
        <v>10</v>
      </c>
      <c r="T22" s="38">
        <v>6</v>
      </c>
      <c r="U22" s="38">
        <v>6</v>
      </c>
      <c r="V22" s="38">
        <v>0</v>
      </c>
      <c r="W22" s="38">
        <v>8</v>
      </c>
      <c r="X22" s="38">
        <v>7</v>
      </c>
      <c r="Y22" s="41">
        <f t="shared" si="1"/>
        <v>73</v>
      </c>
      <c r="Z22" s="38">
        <f t="shared" si="2"/>
        <v>91.25</v>
      </c>
      <c r="AA22" s="42">
        <f t="shared" si="3"/>
        <v>78.474999999999994</v>
      </c>
      <c r="AB22" s="38" t="s">
        <v>173</v>
      </c>
    </row>
    <row r="23" spans="1:28" ht="17.100000000000001" customHeight="1">
      <c r="A23" s="7" t="s">
        <v>139</v>
      </c>
      <c r="B23" s="7" t="s">
        <v>174</v>
      </c>
      <c r="C23" s="7" t="s">
        <v>175</v>
      </c>
      <c r="D23" s="7" t="s">
        <v>50</v>
      </c>
      <c r="E23" s="7">
        <v>85</v>
      </c>
      <c r="F23" s="7">
        <v>85</v>
      </c>
      <c r="G23" s="7">
        <v>85</v>
      </c>
      <c r="H23" s="7">
        <v>90</v>
      </c>
      <c r="I23" s="7">
        <v>95</v>
      </c>
      <c r="J23" s="7">
        <v>95</v>
      </c>
      <c r="K23" s="7">
        <v>95</v>
      </c>
      <c r="L23" s="7">
        <v>100</v>
      </c>
      <c r="M23" s="7">
        <v>100</v>
      </c>
      <c r="N23" s="7">
        <v>100</v>
      </c>
      <c r="O23" s="38">
        <f t="shared" si="0"/>
        <v>93.75</v>
      </c>
      <c r="P23" s="38">
        <v>12</v>
      </c>
      <c r="Q23" s="38">
        <v>4</v>
      </c>
      <c r="R23" s="38">
        <v>8</v>
      </c>
      <c r="S23" s="38">
        <v>6</v>
      </c>
      <c r="T23" s="38">
        <v>0</v>
      </c>
      <c r="U23" s="38">
        <v>0</v>
      </c>
      <c r="V23" s="38">
        <v>2</v>
      </c>
      <c r="W23" s="38">
        <v>0</v>
      </c>
      <c r="X23" s="38">
        <v>2</v>
      </c>
      <c r="Y23" s="41">
        <f t="shared" si="1"/>
        <v>34</v>
      </c>
      <c r="Z23" s="38">
        <f t="shared" si="2"/>
        <v>93.75</v>
      </c>
      <c r="AA23" s="42">
        <f t="shared" si="3"/>
        <v>51.924999999999997</v>
      </c>
      <c r="AB23" s="38" t="s">
        <v>175</v>
      </c>
    </row>
    <row r="24" spans="1:28" ht="17.100000000000001" customHeight="1">
      <c r="A24" s="7" t="s">
        <v>139</v>
      </c>
      <c r="B24" s="7" t="s">
        <v>176</v>
      </c>
      <c r="C24" s="7" t="s">
        <v>177</v>
      </c>
      <c r="D24" s="7" t="s">
        <v>50</v>
      </c>
      <c r="E24" s="7">
        <v>90</v>
      </c>
      <c r="F24" s="7">
        <v>90</v>
      </c>
      <c r="G24" s="7">
        <v>90</v>
      </c>
      <c r="H24" s="7">
        <v>90</v>
      </c>
      <c r="I24" s="7">
        <v>90</v>
      </c>
      <c r="J24" s="7">
        <v>95</v>
      </c>
      <c r="K24" s="7">
        <v>95</v>
      </c>
      <c r="L24" s="7">
        <v>100</v>
      </c>
      <c r="M24" s="7">
        <v>100</v>
      </c>
      <c r="N24" s="7">
        <v>100</v>
      </c>
      <c r="O24" s="38">
        <f t="shared" si="0"/>
        <v>94.444444444444443</v>
      </c>
      <c r="P24" s="38">
        <v>12</v>
      </c>
      <c r="Q24" s="38">
        <v>7</v>
      </c>
      <c r="R24" s="38">
        <v>9</v>
      </c>
      <c r="S24" s="38">
        <v>10</v>
      </c>
      <c r="T24" s="38">
        <v>0</v>
      </c>
      <c r="U24" s="38">
        <v>6</v>
      </c>
      <c r="V24" s="38">
        <v>0</v>
      </c>
      <c r="W24" s="38">
        <v>6</v>
      </c>
      <c r="X24" s="38">
        <v>5</v>
      </c>
      <c r="Y24" s="41">
        <f t="shared" si="1"/>
        <v>55</v>
      </c>
      <c r="Z24" s="38">
        <f t="shared" si="2"/>
        <v>94.444444444444443</v>
      </c>
      <c r="AA24" s="42">
        <f t="shared" si="3"/>
        <v>66.833333333333329</v>
      </c>
      <c r="AB24" s="38" t="s">
        <v>177</v>
      </c>
    </row>
    <row r="25" spans="1:28" ht="17.100000000000001" customHeight="1">
      <c r="A25" s="7" t="s">
        <v>139</v>
      </c>
      <c r="B25" s="7" t="s">
        <v>178</v>
      </c>
      <c r="C25" s="7" t="s">
        <v>179</v>
      </c>
      <c r="D25" s="7" t="s">
        <v>50</v>
      </c>
      <c r="E25" s="7">
        <v>85</v>
      </c>
      <c r="F25" s="7">
        <v>85</v>
      </c>
      <c r="G25" s="7">
        <v>85</v>
      </c>
      <c r="H25" s="7">
        <v>90</v>
      </c>
      <c r="I25" s="7">
        <v>90</v>
      </c>
      <c r="J25" s="7">
        <v>95</v>
      </c>
      <c r="K25" s="7">
        <v>95</v>
      </c>
      <c r="L25" s="7">
        <v>100</v>
      </c>
      <c r="M25" s="7">
        <v>100</v>
      </c>
      <c r="N25" s="7">
        <v>100</v>
      </c>
      <c r="O25" s="38">
        <f t="shared" si="0"/>
        <v>93.194444444444443</v>
      </c>
      <c r="P25" s="38">
        <v>12</v>
      </c>
      <c r="Q25" s="38">
        <v>6</v>
      </c>
      <c r="R25" s="38">
        <v>9</v>
      </c>
      <c r="S25" s="38">
        <v>10</v>
      </c>
      <c r="T25" s="38">
        <v>6</v>
      </c>
      <c r="U25" s="38">
        <v>0</v>
      </c>
      <c r="V25" s="38">
        <v>0</v>
      </c>
      <c r="W25" s="38">
        <v>5</v>
      </c>
      <c r="X25" s="38">
        <v>4</v>
      </c>
      <c r="Y25" s="41">
        <f t="shared" si="1"/>
        <v>52</v>
      </c>
      <c r="Z25" s="38">
        <f t="shared" si="2"/>
        <v>93.194444444444443</v>
      </c>
      <c r="AA25" s="42">
        <f t="shared" si="3"/>
        <v>64.358333333333334</v>
      </c>
      <c r="AB25" s="38" t="s">
        <v>179</v>
      </c>
    </row>
    <row r="26" spans="1:28" ht="17.100000000000001" customHeight="1">
      <c r="A26" s="7" t="s">
        <v>139</v>
      </c>
      <c r="B26" s="7" t="s">
        <v>180</v>
      </c>
      <c r="C26" s="7" t="s">
        <v>181</v>
      </c>
      <c r="D26" s="7" t="s">
        <v>50</v>
      </c>
      <c r="E26" s="7">
        <v>95</v>
      </c>
      <c r="F26" s="7">
        <v>90</v>
      </c>
      <c r="G26" s="7">
        <v>90</v>
      </c>
      <c r="H26" s="7">
        <v>90</v>
      </c>
      <c r="I26" s="7">
        <v>95</v>
      </c>
      <c r="J26" s="7">
        <v>95</v>
      </c>
      <c r="K26" s="7">
        <v>95</v>
      </c>
      <c r="L26" s="7">
        <v>100</v>
      </c>
      <c r="M26" s="7">
        <v>100</v>
      </c>
      <c r="N26" s="7">
        <v>100</v>
      </c>
      <c r="O26" s="38">
        <f t="shared" si="0"/>
        <v>95.416666666666671</v>
      </c>
      <c r="P26" s="38">
        <v>16</v>
      </c>
      <c r="Q26" s="38">
        <v>7</v>
      </c>
      <c r="R26" s="38">
        <v>9</v>
      </c>
      <c r="S26" s="38">
        <v>10</v>
      </c>
      <c r="T26" s="38">
        <v>0</v>
      </c>
      <c r="U26" s="38">
        <v>2</v>
      </c>
      <c r="V26" s="38">
        <v>0</v>
      </c>
      <c r="W26" s="38">
        <v>6</v>
      </c>
      <c r="X26" s="38">
        <v>4</v>
      </c>
      <c r="Y26" s="41">
        <f t="shared" si="1"/>
        <v>54</v>
      </c>
      <c r="Z26" s="38">
        <f t="shared" si="2"/>
        <v>95.416666666666671</v>
      </c>
      <c r="AA26" s="42">
        <f t="shared" si="3"/>
        <v>66.424999999999997</v>
      </c>
      <c r="AB26" s="38" t="s">
        <v>181</v>
      </c>
    </row>
    <row r="27" spans="1:28" ht="17.100000000000001" customHeight="1">
      <c r="A27" s="7" t="s">
        <v>139</v>
      </c>
      <c r="B27" s="7" t="s">
        <v>182</v>
      </c>
      <c r="C27" s="7" t="s">
        <v>183</v>
      </c>
      <c r="D27" s="7" t="s">
        <v>52</v>
      </c>
      <c r="E27" s="7">
        <v>95</v>
      </c>
      <c r="F27" s="7">
        <v>90</v>
      </c>
      <c r="G27" s="7">
        <v>95</v>
      </c>
      <c r="H27" s="7">
        <v>95</v>
      </c>
      <c r="I27" s="7">
        <v>90</v>
      </c>
      <c r="J27" s="7">
        <v>95</v>
      </c>
      <c r="K27" s="7">
        <v>100</v>
      </c>
      <c r="L27" s="7">
        <v>100</v>
      </c>
      <c r="M27" s="7">
        <v>100</v>
      </c>
      <c r="N27" s="7">
        <v>100</v>
      </c>
      <c r="O27" s="38">
        <f t="shared" si="0"/>
        <v>96.25</v>
      </c>
      <c r="P27" s="38">
        <v>16</v>
      </c>
      <c r="Q27" s="38">
        <v>8</v>
      </c>
      <c r="R27" s="38">
        <v>9</v>
      </c>
      <c r="S27" s="38">
        <v>10</v>
      </c>
      <c r="T27" s="38">
        <v>4</v>
      </c>
      <c r="U27" s="38">
        <v>4</v>
      </c>
      <c r="V27" s="38">
        <v>2</v>
      </c>
      <c r="W27" s="38">
        <v>10</v>
      </c>
      <c r="X27" s="38">
        <v>5</v>
      </c>
      <c r="Y27" s="41">
        <f t="shared" si="1"/>
        <v>68</v>
      </c>
      <c r="Z27" s="38">
        <f t="shared" si="2"/>
        <v>96.25</v>
      </c>
      <c r="AA27" s="42">
        <f t="shared" si="3"/>
        <v>76.474999999999994</v>
      </c>
      <c r="AB27" s="38" t="s">
        <v>183</v>
      </c>
    </row>
    <row r="28" spans="1:28" ht="17.100000000000001" customHeight="1">
      <c r="A28" s="7" t="s">
        <v>139</v>
      </c>
      <c r="B28" s="7" t="s">
        <v>184</v>
      </c>
      <c r="C28" s="7" t="s">
        <v>185</v>
      </c>
      <c r="D28" s="7" t="s">
        <v>52</v>
      </c>
      <c r="E28" s="7">
        <v>95</v>
      </c>
      <c r="F28" s="7">
        <v>95</v>
      </c>
      <c r="G28" s="7">
        <v>85</v>
      </c>
      <c r="H28" s="7">
        <v>90</v>
      </c>
      <c r="I28" s="7">
        <v>95</v>
      </c>
      <c r="J28" s="7">
        <v>95</v>
      </c>
      <c r="K28" s="7">
        <v>95</v>
      </c>
      <c r="L28" s="7">
        <v>100</v>
      </c>
      <c r="M28" s="7">
        <v>100</v>
      </c>
      <c r="N28" s="7">
        <v>100</v>
      </c>
      <c r="O28" s="38">
        <f t="shared" si="0"/>
        <v>95.416666666666671</v>
      </c>
      <c r="P28" s="38">
        <v>16</v>
      </c>
      <c r="Q28" s="38">
        <v>7</v>
      </c>
      <c r="R28" s="38">
        <v>7</v>
      </c>
      <c r="S28" s="38">
        <v>10</v>
      </c>
      <c r="T28" s="38">
        <v>0</v>
      </c>
      <c r="U28" s="38">
        <v>8</v>
      </c>
      <c r="V28" s="38">
        <v>0</v>
      </c>
      <c r="W28" s="38">
        <v>1</v>
      </c>
      <c r="X28" s="38">
        <v>4</v>
      </c>
      <c r="Y28" s="41">
        <f t="shared" si="1"/>
        <v>53</v>
      </c>
      <c r="Z28" s="38">
        <f t="shared" si="2"/>
        <v>95.416666666666671</v>
      </c>
      <c r="AA28" s="42">
        <f t="shared" si="3"/>
        <v>65.724999999999994</v>
      </c>
      <c r="AB28" s="38" t="s">
        <v>185</v>
      </c>
    </row>
    <row r="29" spans="1:28" ht="17.100000000000001" customHeight="1">
      <c r="A29" s="7" t="s">
        <v>139</v>
      </c>
      <c r="B29" s="7" t="s">
        <v>186</v>
      </c>
      <c r="C29" s="7" t="s">
        <v>187</v>
      </c>
      <c r="D29" s="7" t="s">
        <v>52</v>
      </c>
      <c r="E29" s="7">
        <v>95</v>
      </c>
      <c r="F29" s="7">
        <v>95</v>
      </c>
      <c r="G29" s="7">
        <v>100</v>
      </c>
      <c r="H29" s="7">
        <v>100</v>
      </c>
      <c r="I29" s="7">
        <v>95</v>
      </c>
      <c r="J29" s="7">
        <v>100</v>
      </c>
      <c r="K29" s="7">
        <v>95</v>
      </c>
      <c r="L29" s="7">
        <v>100</v>
      </c>
      <c r="M29" s="7">
        <v>100</v>
      </c>
      <c r="N29" s="7">
        <v>100</v>
      </c>
      <c r="O29" s="38">
        <f t="shared" si="0"/>
        <v>98.055555555555557</v>
      </c>
      <c r="P29" s="38">
        <v>16</v>
      </c>
      <c r="Q29" s="38">
        <v>7</v>
      </c>
      <c r="R29" s="38">
        <v>10</v>
      </c>
      <c r="S29" s="38">
        <v>10</v>
      </c>
      <c r="T29" s="38">
        <v>0</v>
      </c>
      <c r="U29" s="38">
        <v>8</v>
      </c>
      <c r="V29" s="38">
        <v>6</v>
      </c>
      <c r="W29" s="38">
        <v>10</v>
      </c>
      <c r="X29" s="38">
        <v>5</v>
      </c>
      <c r="Y29" s="41">
        <f t="shared" si="1"/>
        <v>72</v>
      </c>
      <c r="Z29" s="38">
        <f t="shared" si="2"/>
        <v>98.055555555555557</v>
      </c>
      <c r="AA29" s="42">
        <f t="shared" si="3"/>
        <v>79.816666666666663</v>
      </c>
      <c r="AB29" s="38" t="s">
        <v>187</v>
      </c>
    </row>
    <row r="30" spans="1:28" ht="17.100000000000001" customHeight="1">
      <c r="A30" s="7" t="s">
        <v>139</v>
      </c>
      <c r="B30" s="7" t="s">
        <v>188</v>
      </c>
      <c r="C30" s="7" t="s">
        <v>189</v>
      </c>
      <c r="D30" s="7" t="s">
        <v>50</v>
      </c>
      <c r="E30" s="7">
        <v>100</v>
      </c>
      <c r="F30" s="7">
        <v>100</v>
      </c>
      <c r="G30" s="7">
        <v>90</v>
      </c>
      <c r="H30" s="7">
        <v>100</v>
      </c>
      <c r="I30" s="7">
        <v>90</v>
      </c>
      <c r="J30" s="7">
        <v>95</v>
      </c>
      <c r="K30" s="7">
        <v>95</v>
      </c>
      <c r="L30" s="7">
        <v>90</v>
      </c>
      <c r="M30" s="7">
        <v>100</v>
      </c>
      <c r="N30" s="7">
        <v>100</v>
      </c>
      <c r="O30" s="38">
        <f t="shared" si="0"/>
        <v>95.833333333333329</v>
      </c>
      <c r="P30" s="38">
        <v>16</v>
      </c>
      <c r="Q30" s="38">
        <v>6</v>
      </c>
      <c r="R30" s="38">
        <v>10</v>
      </c>
      <c r="S30" s="38">
        <v>4</v>
      </c>
      <c r="T30" s="38">
        <v>6</v>
      </c>
      <c r="U30" s="38">
        <v>8</v>
      </c>
      <c r="V30" s="38">
        <v>0</v>
      </c>
      <c r="W30" s="38">
        <v>9</v>
      </c>
      <c r="X30" s="38">
        <v>4</v>
      </c>
      <c r="Y30" s="41">
        <f t="shared" si="1"/>
        <v>63</v>
      </c>
      <c r="Z30" s="38">
        <f t="shared" si="2"/>
        <v>95.833333333333329</v>
      </c>
      <c r="AA30" s="42">
        <f t="shared" si="3"/>
        <v>72.849999999999994</v>
      </c>
      <c r="AB30" s="38" t="s">
        <v>189</v>
      </c>
    </row>
    <row r="31" spans="1:28" ht="17.100000000000001" customHeight="1">
      <c r="A31" s="7" t="s">
        <v>139</v>
      </c>
      <c r="B31" s="7" t="s">
        <v>190</v>
      </c>
      <c r="C31" s="7" t="s">
        <v>191</v>
      </c>
      <c r="D31" s="7" t="s">
        <v>50</v>
      </c>
      <c r="E31" s="7">
        <v>90</v>
      </c>
      <c r="F31" s="7">
        <v>85</v>
      </c>
      <c r="G31" s="7">
        <v>85</v>
      </c>
      <c r="H31" s="7">
        <v>80</v>
      </c>
      <c r="I31" s="7">
        <v>90</v>
      </c>
      <c r="J31" s="7">
        <v>90</v>
      </c>
      <c r="K31" s="7">
        <v>90</v>
      </c>
      <c r="L31" s="7">
        <v>100</v>
      </c>
      <c r="M31" s="7">
        <v>100</v>
      </c>
      <c r="N31" s="7">
        <v>100</v>
      </c>
      <c r="O31" s="38">
        <f t="shared" si="0"/>
        <v>91.666666666666671</v>
      </c>
      <c r="P31" s="38">
        <v>16</v>
      </c>
      <c r="Q31" s="38">
        <v>7</v>
      </c>
      <c r="R31" s="38">
        <v>9</v>
      </c>
      <c r="S31" s="38">
        <v>10</v>
      </c>
      <c r="T31" s="38">
        <v>0</v>
      </c>
      <c r="U31" s="38">
        <v>2</v>
      </c>
      <c r="V31" s="38">
        <v>6</v>
      </c>
      <c r="W31" s="38">
        <v>6</v>
      </c>
      <c r="X31" s="38">
        <v>5</v>
      </c>
      <c r="Y31" s="41">
        <f t="shared" si="1"/>
        <v>61</v>
      </c>
      <c r="Z31" s="38">
        <f t="shared" si="2"/>
        <v>91.666666666666671</v>
      </c>
      <c r="AA31" s="42">
        <f t="shared" si="3"/>
        <v>70.199999999999989</v>
      </c>
      <c r="AB31" s="38" t="s">
        <v>191</v>
      </c>
    </row>
    <row r="32" spans="1:28" ht="17.100000000000001" customHeight="1">
      <c r="A32" s="7" t="s">
        <v>139</v>
      </c>
      <c r="B32" s="21">
        <v>1810301209</v>
      </c>
      <c r="C32" s="21" t="s">
        <v>192</v>
      </c>
      <c r="D32" s="21" t="s">
        <v>50</v>
      </c>
      <c r="E32" s="7">
        <v>100</v>
      </c>
      <c r="F32" s="7">
        <v>100</v>
      </c>
      <c r="G32" s="7">
        <v>100</v>
      </c>
      <c r="H32" s="7">
        <v>100</v>
      </c>
      <c r="I32" s="7">
        <v>95</v>
      </c>
      <c r="J32" s="7">
        <v>95</v>
      </c>
      <c r="K32" s="7">
        <v>95</v>
      </c>
      <c r="L32" s="7">
        <v>100</v>
      </c>
      <c r="M32" s="7">
        <v>100</v>
      </c>
      <c r="N32" s="7">
        <v>100</v>
      </c>
      <c r="O32" s="38">
        <f t="shared" si="0"/>
        <v>98.333333333333329</v>
      </c>
      <c r="P32" s="38">
        <v>16</v>
      </c>
      <c r="Q32" s="38">
        <v>7</v>
      </c>
      <c r="R32" s="38">
        <v>10</v>
      </c>
      <c r="S32" s="38">
        <v>10</v>
      </c>
      <c r="T32" s="38">
        <v>4</v>
      </c>
      <c r="U32" s="38">
        <v>6</v>
      </c>
      <c r="V32" s="38">
        <v>8</v>
      </c>
      <c r="W32" s="38">
        <v>6</v>
      </c>
      <c r="X32" s="38">
        <v>6</v>
      </c>
      <c r="Y32" s="41">
        <f t="shared" si="1"/>
        <v>73</v>
      </c>
      <c r="Z32" s="38">
        <f t="shared" si="2"/>
        <v>98.333333333333329</v>
      </c>
      <c r="AA32" s="42">
        <f t="shared" si="3"/>
        <v>80.599999999999994</v>
      </c>
      <c r="AB32" s="38" t="s">
        <v>192</v>
      </c>
    </row>
    <row r="33" spans="1:29" ht="17.100000000000001" customHeight="1">
      <c r="A33" s="22" t="s">
        <v>139</v>
      </c>
      <c r="B33" s="7" t="s">
        <v>193</v>
      </c>
      <c r="C33" s="23" t="s">
        <v>194</v>
      </c>
      <c r="D33" s="23" t="s">
        <v>50</v>
      </c>
      <c r="E33" s="7">
        <v>95</v>
      </c>
      <c r="F33" s="7">
        <v>100</v>
      </c>
      <c r="G33" s="7">
        <v>100</v>
      </c>
      <c r="H33" s="7">
        <v>100</v>
      </c>
      <c r="I33" s="7">
        <v>100</v>
      </c>
      <c r="J33" s="7">
        <v>95</v>
      </c>
      <c r="K33" s="7">
        <v>95</v>
      </c>
      <c r="L33" s="7">
        <v>90</v>
      </c>
      <c r="M33" s="7">
        <v>100</v>
      </c>
      <c r="N33" s="7">
        <v>100</v>
      </c>
      <c r="O33" s="38">
        <f t="shared" si="0"/>
        <v>97.361111111111128</v>
      </c>
      <c r="P33" s="38">
        <v>20</v>
      </c>
      <c r="Q33" s="38">
        <v>4</v>
      </c>
      <c r="R33" s="38">
        <v>7</v>
      </c>
      <c r="S33" s="38">
        <v>10</v>
      </c>
      <c r="T33" s="38">
        <v>2</v>
      </c>
      <c r="U33" s="38">
        <v>0</v>
      </c>
      <c r="V33" s="38">
        <v>6</v>
      </c>
      <c r="W33" s="38">
        <v>1</v>
      </c>
      <c r="X33" s="38">
        <v>2</v>
      </c>
      <c r="Y33" s="41">
        <f t="shared" si="1"/>
        <v>52</v>
      </c>
      <c r="Z33" s="38">
        <f t="shared" si="2"/>
        <v>97.361111111111128</v>
      </c>
      <c r="AA33" s="42">
        <f t="shared" si="3"/>
        <v>65.608333333333334</v>
      </c>
      <c r="AB33" s="38" t="s">
        <v>194</v>
      </c>
    </row>
    <row r="34" spans="1:29" ht="17.100000000000001" customHeight="1">
      <c r="A34" s="22" t="s">
        <v>139</v>
      </c>
      <c r="B34" s="7" t="s">
        <v>195</v>
      </c>
      <c r="C34" s="23" t="s">
        <v>196</v>
      </c>
      <c r="D34" s="23" t="s">
        <v>50</v>
      </c>
      <c r="E34" s="7">
        <v>100</v>
      </c>
      <c r="F34" s="7">
        <v>100</v>
      </c>
      <c r="G34" s="7">
        <v>100</v>
      </c>
      <c r="H34" s="7">
        <v>100</v>
      </c>
      <c r="I34" s="7">
        <v>100</v>
      </c>
      <c r="J34" s="7">
        <v>95</v>
      </c>
      <c r="K34" s="7">
        <v>100</v>
      </c>
      <c r="L34" s="7">
        <v>100</v>
      </c>
      <c r="M34" s="7">
        <v>100</v>
      </c>
      <c r="N34" s="7">
        <v>100</v>
      </c>
      <c r="O34" s="38">
        <f t="shared" si="0"/>
        <v>99.444444444444443</v>
      </c>
      <c r="P34" s="38">
        <v>16</v>
      </c>
      <c r="Q34" s="38">
        <v>7</v>
      </c>
      <c r="R34" s="38">
        <v>10</v>
      </c>
      <c r="S34" s="38">
        <v>10</v>
      </c>
      <c r="T34" s="38">
        <v>0</v>
      </c>
      <c r="U34" s="38">
        <v>6</v>
      </c>
      <c r="V34" s="38">
        <v>6</v>
      </c>
      <c r="W34" s="38">
        <v>8</v>
      </c>
      <c r="X34" s="38">
        <v>5</v>
      </c>
      <c r="Y34" s="41">
        <f t="shared" si="1"/>
        <v>68</v>
      </c>
      <c r="Z34" s="38">
        <f t="shared" si="2"/>
        <v>99.444444444444443</v>
      </c>
      <c r="AA34" s="42">
        <f t="shared" si="3"/>
        <v>77.433333333333323</v>
      </c>
      <c r="AB34" s="38" t="s">
        <v>196</v>
      </c>
    </row>
    <row r="35" spans="1:29">
      <c r="F35" s="1">
        <f t="shared" ref="F35:I35" si="4">COUNTIF(E$6:E$34,"&gt;=90")</f>
        <v>23</v>
      </c>
      <c r="G35" s="1">
        <f t="shared" si="4"/>
        <v>22</v>
      </c>
      <c r="H35" s="1">
        <f t="shared" si="4"/>
        <v>17</v>
      </c>
      <c r="I35" s="1">
        <f t="shared" si="4"/>
        <v>22</v>
      </c>
      <c r="Z35">
        <f>COUNTIF(Y$6:Y$34,"&gt;=90")</f>
        <v>0</v>
      </c>
      <c r="AA35" s="46">
        <f>Z35/29</f>
        <v>0</v>
      </c>
      <c r="AB35">
        <f>COUNTIF(AA$6:AA$34,"&gt;=90")</f>
        <v>1</v>
      </c>
      <c r="AC35" s="46">
        <f t="shared" ref="AC35:AC39" si="5">AB35/29</f>
        <v>3.4482758620689655E-2</v>
      </c>
    </row>
    <row r="36" spans="1:29">
      <c r="F36" s="1">
        <f t="shared" ref="F36:I36" si="6">COUNTIF(E$6:E$34,"&gt;=80")</f>
        <v>29</v>
      </c>
      <c r="G36" s="1">
        <f t="shared" si="6"/>
        <v>29</v>
      </c>
      <c r="H36" s="1">
        <f t="shared" si="6"/>
        <v>27</v>
      </c>
      <c r="I36" s="1">
        <f t="shared" si="6"/>
        <v>29</v>
      </c>
      <c r="Z36">
        <f>COUNTIF(Y$6:Y$34,"&gt;=80")</f>
        <v>1</v>
      </c>
      <c r="AA36" s="46">
        <f>Z36/29</f>
        <v>3.4482758620689655E-2</v>
      </c>
      <c r="AB36">
        <f>COUNTIF(AA$6:AA$34,"&gt;=80")</f>
        <v>3</v>
      </c>
      <c r="AC36" s="46">
        <f t="shared" si="5"/>
        <v>0.10344827586206896</v>
      </c>
    </row>
    <row r="37" spans="1:29">
      <c r="F37" s="1">
        <f t="shared" ref="F37:I37" si="7">COUNTIF(E$6:E$34,"&gt;=70")</f>
        <v>29</v>
      </c>
      <c r="G37" s="1">
        <f t="shared" si="7"/>
        <v>29</v>
      </c>
      <c r="H37" s="1">
        <f t="shared" si="7"/>
        <v>27</v>
      </c>
      <c r="I37" s="1">
        <f t="shared" si="7"/>
        <v>29</v>
      </c>
      <c r="Z37">
        <f>COUNTIF(Y$6:Y$34,"&gt;=70")</f>
        <v>6</v>
      </c>
      <c r="AA37" s="46">
        <f>Z37/29</f>
        <v>0.20689655172413793</v>
      </c>
      <c r="AB37">
        <f>COUNTIF(AA$6:AA$34,"&gt;=70")</f>
        <v>21</v>
      </c>
      <c r="AC37" s="46">
        <f t="shared" si="5"/>
        <v>0.72413793103448276</v>
      </c>
    </row>
    <row r="38" spans="1:29">
      <c r="F38" s="1">
        <f t="shared" ref="F38:I38" si="8">COUNTIF(E$6:E$34,"&gt;=0")</f>
        <v>29</v>
      </c>
      <c r="G38" s="1">
        <f t="shared" si="8"/>
        <v>29</v>
      </c>
      <c r="H38" s="1">
        <f t="shared" si="8"/>
        <v>29</v>
      </c>
      <c r="I38" s="1">
        <f t="shared" si="8"/>
        <v>29</v>
      </c>
      <c r="Z38">
        <f>COUNTIF(Y$6:Y$34,"&gt;=60")</f>
        <v>22</v>
      </c>
      <c r="AA38" s="46">
        <f>Z38/29</f>
        <v>0.75862068965517238</v>
      </c>
      <c r="AB38">
        <f>COUNTIF(AA$6:AA$34,"&gt;=60")</f>
        <v>28</v>
      </c>
      <c r="AC38" s="46">
        <f t="shared" si="5"/>
        <v>0.96551724137931039</v>
      </c>
    </row>
    <row r="39" spans="1:29">
      <c r="Z39">
        <f>COUNTIF(Y$6:Y$34,"&gt;=30")</f>
        <v>29</v>
      </c>
      <c r="AA39" s="46">
        <f>Z39/29</f>
        <v>1</v>
      </c>
      <c r="AB39">
        <f>COUNTIF(AA$6:AA$34,"&gt;=30")</f>
        <v>29</v>
      </c>
      <c r="AC39" s="46">
        <f t="shared" si="5"/>
        <v>1</v>
      </c>
    </row>
    <row r="40" spans="1:29">
      <c r="Z40">
        <f>AVERAGE(Y6:Y34)</f>
        <v>63.068965517241381</v>
      </c>
      <c r="AA40"/>
      <c r="AB40">
        <f>AVERAGE(AA6:AA34)</f>
        <v>72.590804597701123</v>
      </c>
    </row>
    <row r="41" spans="1:29">
      <c r="Z41">
        <f>STDEV(Y6:Y34)</f>
        <v>10.201299057622727</v>
      </c>
      <c r="AA41"/>
      <c r="AB41">
        <f>STDEV(AA6:AA34)</f>
        <v>7.4077157547058858</v>
      </c>
    </row>
  </sheetData>
  <mergeCells count="15">
    <mergeCell ref="O4:O5"/>
    <mergeCell ref="AB4:AB5"/>
    <mergeCell ref="F2:I3"/>
    <mergeCell ref="J2:L3"/>
    <mergeCell ref="A3:B3"/>
    <mergeCell ref="A4:A5"/>
    <mergeCell ref="B4:B5"/>
    <mergeCell ref="C4:C5"/>
    <mergeCell ref="D4:D5"/>
    <mergeCell ref="A1:B1"/>
    <mergeCell ref="C1:E1"/>
    <mergeCell ref="F1:I1"/>
    <mergeCell ref="J1:L1"/>
    <mergeCell ref="A2:B2"/>
    <mergeCell ref="C2:E2"/>
  </mergeCells>
  <phoneticPr fontId="18" type="noConversion"/>
  <conditionalFormatting sqref="AA6:AA34">
    <cfRule type="cellIs" dxfId="12" priority="1" operator="lessThan">
      <formula>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2"/>
  <sheetViews>
    <sheetView zoomScale="70" zoomScaleNormal="70" workbookViewId="0">
      <selection sqref="A1:P35"/>
    </sheetView>
  </sheetViews>
  <sheetFormatPr defaultColWidth="9" defaultRowHeight="13.5"/>
  <cols>
    <col min="6" max="9" width="12.625"/>
    <col min="17" max="19" width="9" style="30"/>
    <col min="23" max="25" width="9" style="30"/>
    <col min="26" max="28" width="12.625"/>
  </cols>
  <sheetData>
    <row r="1" spans="1:29" ht="17.25">
      <c r="A1" s="55" t="s">
        <v>0</v>
      </c>
      <c r="B1" s="56"/>
      <c r="C1" s="4"/>
      <c r="D1" s="55" t="s">
        <v>1</v>
      </c>
      <c r="E1" s="57"/>
      <c r="F1" s="57"/>
      <c r="G1" s="58" t="s">
        <v>2</v>
      </c>
      <c r="H1" s="59"/>
      <c r="I1" s="59"/>
      <c r="J1" s="59"/>
      <c r="K1" s="55" t="s">
        <v>3</v>
      </c>
      <c r="L1" s="55"/>
      <c r="M1" s="55"/>
      <c r="N1" s="1"/>
      <c r="O1" s="1"/>
      <c r="P1" s="1"/>
      <c r="AC1" s="3" t="s">
        <v>1</v>
      </c>
    </row>
    <row r="2" spans="1:29" ht="17.25">
      <c r="A2" s="60" t="s">
        <v>4</v>
      </c>
      <c r="B2" s="61"/>
      <c r="C2" s="16"/>
      <c r="D2" s="55" t="s">
        <v>5</v>
      </c>
      <c r="E2" s="57"/>
      <c r="F2" s="57"/>
      <c r="G2" s="69" t="s">
        <v>6</v>
      </c>
      <c r="H2" s="70"/>
      <c r="I2" s="70"/>
      <c r="J2" s="70"/>
      <c r="K2" s="72" t="s">
        <v>7</v>
      </c>
      <c r="L2" s="73"/>
      <c r="M2" s="73"/>
      <c r="N2" s="1"/>
      <c r="O2" s="1"/>
      <c r="P2" s="1"/>
      <c r="AC2" s="3" t="s">
        <v>5</v>
      </c>
    </row>
    <row r="3" spans="1:29" ht="17.25">
      <c r="A3" s="62" t="s">
        <v>8</v>
      </c>
      <c r="B3" s="61"/>
      <c r="C3" s="16"/>
      <c r="D3" s="3"/>
      <c r="E3" s="3"/>
      <c r="F3" s="17"/>
      <c r="G3" s="71"/>
      <c r="H3" s="71"/>
      <c r="I3" s="71"/>
      <c r="J3" s="71"/>
      <c r="K3" s="73"/>
      <c r="L3" s="73"/>
      <c r="M3" s="73"/>
      <c r="N3" s="1"/>
      <c r="O3" s="1"/>
      <c r="P3" s="1"/>
      <c r="AC3" s="3"/>
    </row>
    <row r="4" spans="1:29" ht="16.5">
      <c r="A4" s="63" t="s">
        <v>9</v>
      </c>
      <c r="B4" s="65" t="s">
        <v>10</v>
      </c>
      <c r="C4" s="6"/>
      <c r="D4" s="65" t="s">
        <v>11</v>
      </c>
      <c r="E4" s="65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5" t="s">
        <v>33</v>
      </c>
      <c r="R4" s="25"/>
      <c r="S4" s="25"/>
      <c r="T4" s="6"/>
      <c r="U4" s="6"/>
      <c r="AC4" s="65" t="s">
        <v>11</v>
      </c>
    </row>
    <row r="5" spans="1:29" ht="16.5">
      <c r="A5" s="64"/>
      <c r="B5" s="66"/>
      <c r="C5" s="8"/>
      <c r="D5" s="66"/>
      <c r="E5" s="67"/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34</v>
      </c>
      <c r="N5" s="10" t="s">
        <v>35</v>
      </c>
      <c r="O5" s="10" t="s">
        <v>36</v>
      </c>
      <c r="P5" s="68"/>
      <c r="Q5" s="2" t="s">
        <v>37</v>
      </c>
      <c r="R5" s="2" t="s">
        <v>38</v>
      </c>
      <c r="S5" s="2" t="s">
        <v>39</v>
      </c>
      <c r="T5" s="1" t="s">
        <v>40</v>
      </c>
      <c r="U5" s="1" t="s">
        <v>41</v>
      </c>
      <c r="V5" s="1" t="s">
        <v>42</v>
      </c>
      <c r="W5" s="2" t="s">
        <v>43</v>
      </c>
      <c r="X5" s="2" t="s">
        <v>44</v>
      </c>
      <c r="Y5" s="2" t="s">
        <v>45</v>
      </c>
      <c r="Z5" s="1" t="s">
        <v>46</v>
      </c>
      <c r="AA5" s="1" t="s">
        <v>47</v>
      </c>
      <c r="AB5" s="1" t="s">
        <v>17</v>
      </c>
      <c r="AC5" s="66"/>
    </row>
    <row r="6" spans="1:29" ht="17.100000000000001" customHeight="1">
      <c r="A6" s="18" t="s">
        <v>197</v>
      </c>
      <c r="B6" s="19">
        <v>1810300117</v>
      </c>
      <c r="C6" s="19">
        <v>1</v>
      </c>
      <c r="D6" s="18" t="s">
        <v>198</v>
      </c>
      <c r="E6" s="18" t="s">
        <v>199</v>
      </c>
      <c r="F6" s="7">
        <v>90</v>
      </c>
      <c r="G6" s="7">
        <v>90</v>
      </c>
      <c r="H6" s="7">
        <v>85</v>
      </c>
      <c r="I6" s="7">
        <v>80</v>
      </c>
      <c r="J6" s="26">
        <v>100</v>
      </c>
      <c r="K6" s="26">
        <v>95</v>
      </c>
      <c r="L6" s="26">
        <v>95</v>
      </c>
      <c r="M6" s="7">
        <v>100</v>
      </c>
      <c r="N6" s="1">
        <v>100</v>
      </c>
      <c r="O6" s="1">
        <v>100</v>
      </c>
      <c r="P6" s="38">
        <f t="shared" ref="P6:P35" si="0">(AVERAGE(F6:I6)+AVERAGE(J6:L6)+AVERAGE(M6:O6))/3</f>
        <v>94.305555555555557</v>
      </c>
      <c r="Q6" s="38">
        <v>12</v>
      </c>
      <c r="R6" s="38">
        <v>4</v>
      </c>
      <c r="S6" s="38">
        <v>2</v>
      </c>
      <c r="T6" s="38">
        <v>4</v>
      </c>
      <c r="U6" s="38">
        <v>4</v>
      </c>
      <c r="V6" s="38">
        <v>6</v>
      </c>
      <c r="W6" s="38">
        <v>0</v>
      </c>
      <c r="X6" s="38">
        <v>3</v>
      </c>
      <c r="Y6" s="38">
        <v>4</v>
      </c>
      <c r="Z6" s="41">
        <f t="shared" ref="Z6:Z35" si="1">SUM(Q6:Y6)</f>
        <v>39</v>
      </c>
      <c r="AA6" s="38">
        <f t="shared" ref="AA6:AA35" si="2">P6</f>
        <v>94.305555555555557</v>
      </c>
      <c r="AB6" s="42">
        <f t="shared" ref="AB6:AB35" si="3">Z6*0.7+AA6*0.3</f>
        <v>55.591666666666669</v>
      </c>
      <c r="AC6" s="38" t="s">
        <v>198</v>
      </c>
    </row>
    <row r="7" spans="1:29" ht="17.100000000000001" customHeight="1">
      <c r="A7" s="18" t="s">
        <v>197</v>
      </c>
      <c r="B7" s="19">
        <v>1810300120</v>
      </c>
      <c r="C7" s="19">
        <v>2</v>
      </c>
      <c r="D7" s="18" t="s">
        <v>200</v>
      </c>
      <c r="E7" s="18" t="s">
        <v>199</v>
      </c>
      <c r="F7" s="7">
        <v>90</v>
      </c>
      <c r="G7" s="7">
        <v>100</v>
      </c>
      <c r="H7" s="7">
        <v>100</v>
      </c>
      <c r="I7" s="7">
        <v>100</v>
      </c>
      <c r="J7" s="26">
        <v>100</v>
      </c>
      <c r="K7" s="26">
        <v>100</v>
      </c>
      <c r="L7" s="26">
        <v>95</v>
      </c>
      <c r="M7" s="7">
        <v>100</v>
      </c>
      <c r="N7" s="1">
        <v>100</v>
      </c>
      <c r="O7" s="1">
        <v>100</v>
      </c>
      <c r="P7" s="38">
        <f t="shared" si="0"/>
        <v>98.6111111111111</v>
      </c>
      <c r="Q7" s="38">
        <v>16</v>
      </c>
      <c r="R7" s="38">
        <v>2</v>
      </c>
      <c r="S7" s="38">
        <v>10</v>
      </c>
      <c r="T7" s="38">
        <v>10</v>
      </c>
      <c r="U7" s="38">
        <v>4</v>
      </c>
      <c r="V7" s="38">
        <v>6</v>
      </c>
      <c r="W7" s="38">
        <v>6</v>
      </c>
      <c r="X7" s="38">
        <v>6</v>
      </c>
      <c r="Y7" s="38">
        <v>4</v>
      </c>
      <c r="Z7" s="41">
        <f t="shared" si="1"/>
        <v>64</v>
      </c>
      <c r="AA7" s="38">
        <f t="shared" si="2"/>
        <v>98.6111111111111</v>
      </c>
      <c r="AB7" s="42">
        <f t="shared" si="3"/>
        <v>74.383333333333326</v>
      </c>
      <c r="AC7" s="38" t="s">
        <v>200</v>
      </c>
    </row>
    <row r="8" spans="1:29" ht="17.100000000000001" customHeight="1">
      <c r="A8" s="18" t="s">
        <v>197</v>
      </c>
      <c r="B8" s="19">
        <v>1810300221</v>
      </c>
      <c r="C8" s="19">
        <v>3</v>
      </c>
      <c r="D8" s="18" t="s">
        <v>201</v>
      </c>
      <c r="E8" s="18" t="s">
        <v>199</v>
      </c>
      <c r="F8" s="7">
        <v>90</v>
      </c>
      <c r="G8" s="7">
        <v>90</v>
      </c>
      <c r="H8" s="7">
        <v>85</v>
      </c>
      <c r="I8" s="7">
        <v>85</v>
      </c>
      <c r="J8" s="26">
        <v>90</v>
      </c>
      <c r="K8" s="26">
        <v>95</v>
      </c>
      <c r="L8" s="26">
        <v>95</v>
      </c>
      <c r="M8" s="7">
        <v>100</v>
      </c>
      <c r="N8" s="1">
        <v>100</v>
      </c>
      <c r="O8" s="1">
        <v>100</v>
      </c>
      <c r="P8" s="38">
        <f t="shared" si="0"/>
        <v>93.6111111111111</v>
      </c>
      <c r="Q8" s="38">
        <v>8</v>
      </c>
      <c r="R8" s="38">
        <v>9</v>
      </c>
      <c r="S8" s="38">
        <v>9</v>
      </c>
      <c r="T8" s="38">
        <v>10</v>
      </c>
      <c r="U8" s="38">
        <v>0</v>
      </c>
      <c r="V8" s="38">
        <v>4</v>
      </c>
      <c r="W8" s="38">
        <v>2</v>
      </c>
      <c r="X8" s="38">
        <v>1</v>
      </c>
      <c r="Y8" s="38">
        <v>5</v>
      </c>
      <c r="Z8" s="41">
        <f t="shared" si="1"/>
        <v>48</v>
      </c>
      <c r="AA8" s="38">
        <f t="shared" si="2"/>
        <v>93.6111111111111</v>
      </c>
      <c r="AB8" s="42">
        <f t="shared" si="3"/>
        <v>61.683333333333323</v>
      </c>
      <c r="AC8" s="38" t="s">
        <v>201</v>
      </c>
    </row>
    <row r="9" spans="1:29" ht="17.100000000000001" customHeight="1">
      <c r="A9" s="18" t="s">
        <v>197</v>
      </c>
      <c r="B9" s="19">
        <v>1810300318</v>
      </c>
      <c r="C9" s="19">
        <v>4</v>
      </c>
      <c r="D9" s="18" t="s">
        <v>202</v>
      </c>
      <c r="E9" s="18" t="s">
        <v>199</v>
      </c>
      <c r="F9" s="7">
        <v>85</v>
      </c>
      <c r="G9" s="7">
        <v>80</v>
      </c>
      <c r="H9" s="7">
        <v>80</v>
      </c>
      <c r="I9" s="7">
        <v>80</v>
      </c>
      <c r="J9" s="26">
        <v>90</v>
      </c>
      <c r="K9" s="26">
        <v>100</v>
      </c>
      <c r="L9" s="26">
        <v>100</v>
      </c>
      <c r="M9" s="1">
        <v>100</v>
      </c>
      <c r="N9" s="1">
        <v>80</v>
      </c>
      <c r="O9" s="1">
        <v>100</v>
      </c>
      <c r="P9" s="38">
        <f t="shared" si="0"/>
        <v>90.416666666666671</v>
      </c>
      <c r="Q9" s="38">
        <v>12</v>
      </c>
      <c r="R9" s="38">
        <v>8</v>
      </c>
      <c r="S9" s="38">
        <v>9</v>
      </c>
      <c r="T9" s="38">
        <v>10</v>
      </c>
      <c r="U9" s="38">
        <v>2</v>
      </c>
      <c r="V9" s="38">
        <v>4</v>
      </c>
      <c r="W9" s="38">
        <v>0</v>
      </c>
      <c r="X9" s="38">
        <v>1</v>
      </c>
      <c r="Y9" s="38">
        <v>3</v>
      </c>
      <c r="Z9" s="41">
        <f t="shared" si="1"/>
        <v>49</v>
      </c>
      <c r="AA9" s="38">
        <f t="shared" si="2"/>
        <v>90.416666666666671</v>
      </c>
      <c r="AB9" s="42">
        <f t="shared" si="3"/>
        <v>61.424999999999997</v>
      </c>
      <c r="AC9" s="38" t="s">
        <v>202</v>
      </c>
    </row>
    <row r="10" spans="1:29" ht="17.100000000000001" customHeight="1">
      <c r="A10" s="18" t="s">
        <v>197</v>
      </c>
      <c r="B10" s="19">
        <v>1810300404</v>
      </c>
      <c r="C10" s="19">
        <v>5</v>
      </c>
      <c r="D10" s="18" t="s">
        <v>203</v>
      </c>
      <c r="E10" s="18" t="s">
        <v>199</v>
      </c>
      <c r="F10" s="7">
        <v>100</v>
      </c>
      <c r="G10" s="7">
        <v>100</v>
      </c>
      <c r="H10" s="7">
        <v>100</v>
      </c>
      <c r="I10" s="7">
        <v>100</v>
      </c>
      <c r="J10" s="26">
        <v>100</v>
      </c>
      <c r="K10" s="26">
        <v>100</v>
      </c>
      <c r="L10" s="26">
        <v>100</v>
      </c>
      <c r="M10">
        <v>100</v>
      </c>
      <c r="N10" s="1">
        <v>100</v>
      </c>
      <c r="O10" s="1">
        <v>100</v>
      </c>
      <c r="P10" s="38">
        <f t="shared" si="0"/>
        <v>100</v>
      </c>
      <c r="Q10" s="38">
        <v>20</v>
      </c>
      <c r="R10" s="38">
        <v>8</v>
      </c>
      <c r="S10" s="38">
        <v>10</v>
      </c>
      <c r="T10" s="38">
        <v>10</v>
      </c>
      <c r="U10" s="38">
        <v>6</v>
      </c>
      <c r="V10" s="38">
        <v>8</v>
      </c>
      <c r="W10" s="38">
        <v>10</v>
      </c>
      <c r="X10" s="38">
        <v>5</v>
      </c>
      <c r="Y10" s="38">
        <v>8</v>
      </c>
      <c r="Z10" s="41">
        <f t="shared" si="1"/>
        <v>85</v>
      </c>
      <c r="AA10" s="38">
        <f t="shared" si="2"/>
        <v>100</v>
      </c>
      <c r="AB10" s="42">
        <f t="shared" si="3"/>
        <v>89.5</v>
      </c>
      <c r="AC10" s="38" t="s">
        <v>203</v>
      </c>
    </row>
    <row r="11" spans="1:29" ht="17.100000000000001" customHeight="1">
      <c r="A11" s="18" t="s">
        <v>197</v>
      </c>
      <c r="B11" s="19">
        <v>1810300504</v>
      </c>
      <c r="C11" s="19">
        <v>6</v>
      </c>
      <c r="D11" s="18" t="s">
        <v>204</v>
      </c>
      <c r="E11" s="18" t="s">
        <v>199</v>
      </c>
      <c r="F11" s="7">
        <v>100</v>
      </c>
      <c r="G11" s="7">
        <v>100</v>
      </c>
      <c r="H11" s="7">
        <v>100</v>
      </c>
      <c r="I11" s="7">
        <v>100</v>
      </c>
      <c r="J11" s="26">
        <v>100</v>
      </c>
      <c r="K11" s="26">
        <v>95</v>
      </c>
      <c r="L11" s="26">
        <v>95</v>
      </c>
      <c r="M11">
        <v>100</v>
      </c>
      <c r="N11" s="1">
        <v>100</v>
      </c>
      <c r="O11" s="1">
        <v>100</v>
      </c>
      <c r="P11" s="38">
        <f t="shared" si="0"/>
        <v>98.8888888888889</v>
      </c>
      <c r="Q11" s="38">
        <v>20</v>
      </c>
      <c r="R11" s="38">
        <v>8</v>
      </c>
      <c r="S11" s="38">
        <v>9</v>
      </c>
      <c r="T11" s="38">
        <v>10</v>
      </c>
      <c r="U11" s="38">
        <v>0</v>
      </c>
      <c r="V11" s="38">
        <v>4</v>
      </c>
      <c r="W11" s="38">
        <v>2</v>
      </c>
      <c r="X11" s="38">
        <v>4</v>
      </c>
      <c r="Y11" s="38">
        <v>6</v>
      </c>
      <c r="Z11" s="41">
        <f t="shared" si="1"/>
        <v>63</v>
      </c>
      <c r="AA11" s="38">
        <f t="shared" si="2"/>
        <v>98.8888888888889</v>
      </c>
      <c r="AB11" s="42">
        <f t="shared" si="3"/>
        <v>73.766666666666666</v>
      </c>
      <c r="AC11" s="38" t="s">
        <v>204</v>
      </c>
    </row>
    <row r="12" spans="1:29" ht="17.100000000000001" customHeight="1">
      <c r="A12" s="18" t="s">
        <v>197</v>
      </c>
      <c r="B12" s="19">
        <v>1810300512</v>
      </c>
      <c r="C12" s="19">
        <v>7</v>
      </c>
      <c r="D12" s="18" t="s">
        <v>205</v>
      </c>
      <c r="E12" s="18" t="s">
        <v>199</v>
      </c>
      <c r="F12" s="7">
        <v>80</v>
      </c>
      <c r="G12" s="7">
        <v>85</v>
      </c>
      <c r="H12" s="7">
        <v>80</v>
      </c>
      <c r="I12" s="7">
        <v>80</v>
      </c>
      <c r="J12" s="26">
        <v>100</v>
      </c>
      <c r="K12" s="26">
        <v>95</v>
      </c>
      <c r="L12" s="26">
        <v>95</v>
      </c>
      <c r="M12">
        <v>90</v>
      </c>
      <c r="N12" s="1">
        <v>100</v>
      </c>
      <c r="O12" s="1">
        <v>100</v>
      </c>
      <c r="P12" s="38">
        <f t="shared" si="0"/>
        <v>91.527777777777786</v>
      </c>
      <c r="Q12" s="38">
        <v>12</v>
      </c>
      <c r="R12" s="38">
        <v>7</v>
      </c>
      <c r="S12" s="38">
        <v>8</v>
      </c>
      <c r="T12" s="38">
        <v>10</v>
      </c>
      <c r="U12" s="38">
        <v>6</v>
      </c>
      <c r="V12" s="38">
        <v>4</v>
      </c>
      <c r="W12" s="38">
        <v>2</v>
      </c>
      <c r="X12" s="38">
        <v>9</v>
      </c>
      <c r="Y12" s="38">
        <v>5</v>
      </c>
      <c r="Z12" s="41">
        <f t="shared" si="1"/>
        <v>63</v>
      </c>
      <c r="AA12" s="38">
        <f t="shared" si="2"/>
        <v>91.527777777777786</v>
      </c>
      <c r="AB12" s="42">
        <f t="shared" si="3"/>
        <v>71.558333333333337</v>
      </c>
      <c r="AC12" s="38" t="s">
        <v>205</v>
      </c>
    </row>
    <row r="13" spans="1:29" ht="17.100000000000001" customHeight="1">
      <c r="A13" s="18" t="s">
        <v>197</v>
      </c>
      <c r="B13" s="19">
        <v>1810300605</v>
      </c>
      <c r="C13" s="19">
        <v>8</v>
      </c>
      <c r="D13" s="18" t="s">
        <v>206</v>
      </c>
      <c r="E13" s="18" t="s">
        <v>199</v>
      </c>
      <c r="F13" s="7">
        <v>100</v>
      </c>
      <c r="G13" s="7">
        <v>95</v>
      </c>
      <c r="H13" s="7">
        <v>85</v>
      </c>
      <c r="I13" s="7">
        <v>90</v>
      </c>
      <c r="J13" s="26">
        <v>100</v>
      </c>
      <c r="K13" s="26">
        <v>95</v>
      </c>
      <c r="L13" s="26">
        <v>100</v>
      </c>
      <c r="M13">
        <v>90</v>
      </c>
      <c r="N13">
        <v>100</v>
      </c>
      <c r="O13" s="1">
        <v>100</v>
      </c>
      <c r="P13" s="38">
        <f t="shared" si="0"/>
        <v>95.833333333333329</v>
      </c>
      <c r="Q13" s="38">
        <v>12</v>
      </c>
      <c r="R13" s="38">
        <v>8</v>
      </c>
      <c r="S13" s="38">
        <v>8</v>
      </c>
      <c r="T13" s="38">
        <v>10</v>
      </c>
      <c r="U13" s="38">
        <v>0</v>
      </c>
      <c r="V13" s="38">
        <v>4</v>
      </c>
      <c r="W13" s="38">
        <v>8</v>
      </c>
      <c r="X13" s="38">
        <v>10</v>
      </c>
      <c r="Y13" s="38">
        <v>5</v>
      </c>
      <c r="Z13" s="41">
        <f t="shared" si="1"/>
        <v>65</v>
      </c>
      <c r="AA13" s="38">
        <f t="shared" si="2"/>
        <v>95.833333333333329</v>
      </c>
      <c r="AB13" s="42">
        <f t="shared" si="3"/>
        <v>74.25</v>
      </c>
      <c r="AC13" s="38" t="s">
        <v>206</v>
      </c>
    </row>
    <row r="14" spans="1:29" ht="17.100000000000001" customHeight="1">
      <c r="A14" s="18" t="s">
        <v>197</v>
      </c>
      <c r="B14" s="19">
        <v>1810300612</v>
      </c>
      <c r="C14" s="19">
        <v>9</v>
      </c>
      <c r="D14" s="18" t="s">
        <v>207</v>
      </c>
      <c r="E14" s="18" t="s">
        <v>199</v>
      </c>
      <c r="F14" s="7">
        <v>80</v>
      </c>
      <c r="G14" s="7">
        <v>80</v>
      </c>
      <c r="H14" s="7">
        <v>80</v>
      </c>
      <c r="I14" s="7">
        <v>80</v>
      </c>
      <c r="J14" s="26">
        <v>100</v>
      </c>
      <c r="K14" s="26">
        <v>95</v>
      </c>
      <c r="L14" s="26">
        <v>95</v>
      </c>
      <c r="M14">
        <v>90</v>
      </c>
      <c r="N14" s="1">
        <v>100</v>
      </c>
      <c r="O14" s="1">
        <v>100</v>
      </c>
      <c r="P14" s="38">
        <f t="shared" si="0"/>
        <v>91.111111111111128</v>
      </c>
      <c r="Q14" s="38">
        <v>16</v>
      </c>
      <c r="R14" s="38">
        <v>7</v>
      </c>
      <c r="S14" s="38">
        <v>7</v>
      </c>
      <c r="T14" s="38">
        <v>10</v>
      </c>
      <c r="U14" s="38">
        <v>0</v>
      </c>
      <c r="V14" s="38">
        <v>2</v>
      </c>
      <c r="W14" s="38">
        <v>6</v>
      </c>
      <c r="X14" s="38">
        <v>1</v>
      </c>
      <c r="Y14" s="38">
        <v>3</v>
      </c>
      <c r="Z14" s="41">
        <f t="shared" si="1"/>
        <v>52</v>
      </c>
      <c r="AA14" s="38">
        <f t="shared" si="2"/>
        <v>91.111111111111128</v>
      </c>
      <c r="AB14" s="42">
        <f t="shared" si="3"/>
        <v>63.733333333333334</v>
      </c>
      <c r="AC14" s="38" t="s">
        <v>207</v>
      </c>
    </row>
    <row r="15" spans="1:29" ht="17.100000000000001" customHeight="1">
      <c r="A15" s="18" t="s">
        <v>197</v>
      </c>
      <c r="B15" s="19">
        <v>1810300627</v>
      </c>
      <c r="C15" s="19">
        <v>10</v>
      </c>
      <c r="D15" s="18" t="s">
        <v>208</v>
      </c>
      <c r="E15" s="18" t="s">
        <v>209</v>
      </c>
      <c r="F15" s="7">
        <v>85</v>
      </c>
      <c r="G15" s="7">
        <v>85</v>
      </c>
      <c r="H15" s="7">
        <v>80</v>
      </c>
      <c r="I15" s="7">
        <v>85</v>
      </c>
      <c r="J15" s="26">
        <v>100</v>
      </c>
      <c r="K15" s="26">
        <v>100</v>
      </c>
      <c r="L15" s="26">
        <v>95</v>
      </c>
      <c r="M15" s="1">
        <v>100</v>
      </c>
      <c r="N15" s="1">
        <v>100</v>
      </c>
      <c r="O15" s="1">
        <v>100</v>
      </c>
      <c r="P15" s="38">
        <f t="shared" si="0"/>
        <v>94.027777777777771</v>
      </c>
      <c r="Q15" s="38">
        <v>16</v>
      </c>
      <c r="R15" s="38">
        <v>6</v>
      </c>
      <c r="S15" s="38">
        <v>9</v>
      </c>
      <c r="T15" s="38">
        <v>10</v>
      </c>
      <c r="U15" s="38">
        <v>0</v>
      </c>
      <c r="V15" s="38">
        <v>4</v>
      </c>
      <c r="W15" s="38">
        <v>6</v>
      </c>
      <c r="X15" s="38">
        <v>4</v>
      </c>
      <c r="Y15" s="38">
        <v>5</v>
      </c>
      <c r="Z15" s="41">
        <f t="shared" si="1"/>
        <v>60</v>
      </c>
      <c r="AA15" s="38">
        <f t="shared" si="2"/>
        <v>94.027777777777771</v>
      </c>
      <c r="AB15" s="42">
        <f t="shared" si="3"/>
        <v>70.208333333333329</v>
      </c>
      <c r="AC15" s="38" t="s">
        <v>208</v>
      </c>
    </row>
    <row r="16" spans="1:29" ht="17.100000000000001" customHeight="1">
      <c r="A16" s="18" t="s">
        <v>197</v>
      </c>
      <c r="B16" s="19">
        <v>1810300628</v>
      </c>
      <c r="C16" s="19">
        <v>11</v>
      </c>
      <c r="D16" s="18" t="s">
        <v>210</v>
      </c>
      <c r="E16" s="18" t="s">
        <v>209</v>
      </c>
      <c r="F16" s="7">
        <v>0</v>
      </c>
      <c r="G16" s="7">
        <v>0</v>
      </c>
      <c r="H16" s="7">
        <v>0</v>
      </c>
      <c r="I16" s="7">
        <v>0</v>
      </c>
      <c r="J16" s="26">
        <v>100</v>
      </c>
      <c r="K16" s="26">
        <v>95</v>
      </c>
      <c r="L16" s="26">
        <v>95</v>
      </c>
      <c r="M16" s="1">
        <v>100</v>
      </c>
      <c r="N16" s="1">
        <v>100</v>
      </c>
      <c r="O16" s="1">
        <v>100</v>
      </c>
      <c r="P16" s="38">
        <f t="shared" si="0"/>
        <v>65.555555555555557</v>
      </c>
      <c r="Q16" s="38">
        <v>16</v>
      </c>
      <c r="R16" s="38">
        <v>7</v>
      </c>
      <c r="S16" s="38">
        <v>9</v>
      </c>
      <c r="T16" s="38">
        <v>10</v>
      </c>
      <c r="U16" s="38">
        <v>8</v>
      </c>
      <c r="V16" s="38">
        <v>2</v>
      </c>
      <c r="W16" s="38">
        <v>10</v>
      </c>
      <c r="X16" s="38">
        <v>3</v>
      </c>
      <c r="Y16" s="38">
        <v>4</v>
      </c>
      <c r="Z16" s="41">
        <f t="shared" si="1"/>
        <v>69</v>
      </c>
      <c r="AA16" s="38">
        <f t="shared" si="2"/>
        <v>65.555555555555557</v>
      </c>
      <c r="AB16" s="42">
        <f t="shared" si="3"/>
        <v>67.966666666666669</v>
      </c>
      <c r="AC16" s="38" t="s">
        <v>210</v>
      </c>
    </row>
    <row r="17" spans="1:29" ht="17.100000000000001" customHeight="1">
      <c r="A17" s="18" t="s">
        <v>197</v>
      </c>
      <c r="B17" s="19">
        <v>1810300629</v>
      </c>
      <c r="C17" s="19">
        <v>12</v>
      </c>
      <c r="D17" s="18" t="s">
        <v>211</v>
      </c>
      <c r="E17" s="18" t="s">
        <v>209</v>
      </c>
      <c r="F17" s="7">
        <v>90</v>
      </c>
      <c r="G17" s="7">
        <v>90</v>
      </c>
      <c r="H17" s="7">
        <v>85</v>
      </c>
      <c r="I17" s="7">
        <v>90</v>
      </c>
      <c r="J17" s="26">
        <v>100</v>
      </c>
      <c r="K17" s="26">
        <v>95</v>
      </c>
      <c r="L17" s="26">
        <v>95</v>
      </c>
      <c r="M17" s="1">
        <v>100</v>
      </c>
      <c r="N17" s="1">
        <v>100</v>
      </c>
      <c r="O17" s="1">
        <v>100</v>
      </c>
      <c r="P17" s="38">
        <f t="shared" si="0"/>
        <v>95.1388888888889</v>
      </c>
      <c r="Q17" s="38">
        <v>16</v>
      </c>
      <c r="R17" s="38">
        <v>6</v>
      </c>
      <c r="S17" s="38">
        <v>9</v>
      </c>
      <c r="T17" s="38">
        <v>0</v>
      </c>
      <c r="U17" s="38">
        <v>6</v>
      </c>
      <c r="V17" s="38">
        <v>2</v>
      </c>
      <c r="W17" s="38">
        <v>0</v>
      </c>
      <c r="X17" s="38">
        <v>1</v>
      </c>
      <c r="Y17" s="38">
        <v>2</v>
      </c>
      <c r="Z17" s="41">
        <f t="shared" si="1"/>
        <v>42</v>
      </c>
      <c r="AA17" s="38">
        <f t="shared" si="2"/>
        <v>95.1388888888889</v>
      </c>
      <c r="AB17" s="42">
        <f t="shared" si="3"/>
        <v>57.941666666666663</v>
      </c>
      <c r="AC17" s="38" t="s">
        <v>211</v>
      </c>
    </row>
    <row r="18" spans="1:29" ht="17.100000000000001" customHeight="1">
      <c r="A18" s="18" t="s">
        <v>197</v>
      </c>
      <c r="B18" s="19">
        <v>1810300709</v>
      </c>
      <c r="C18" s="19">
        <v>13</v>
      </c>
      <c r="D18" s="18" t="s">
        <v>212</v>
      </c>
      <c r="E18" s="18" t="s">
        <v>199</v>
      </c>
      <c r="F18" s="7">
        <v>80</v>
      </c>
      <c r="G18" s="7">
        <v>80</v>
      </c>
      <c r="H18" s="7">
        <v>80</v>
      </c>
      <c r="I18" s="7">
        <v>80</v>
      </c>
      <c r="J18" s="26">
        <v>1</v>
      </c>
      <c r="K18" s="26">
        <v>95</v>
      </c>
      <c r="L18" s="26">
        <v>95</v>
      </c>
      <c r="M18" s="1">
        <v>100</v>
      </c>
      <c r="N18" s="1">
        <v>100</v>
      </c>
      <c r="O18" s="1">
        <v>100</v>
      </c>
      <c r="P18" s="38">
        <f t="shared" si="0"/>
        <v>81.222222222222214</v>
      </c>
      <c r="Q18" s="38">
        <v>12</v>
      </c>
      <c r="R18" s="38">
        <v>4</v>
      </c>
      <c r="S18" s="38">
        <v>9</v>
      </c>
      <c r="T18" s="38">
        <v>10</v>
      </c>
      <c r="U18" s="38">
        <v>2</v>
      </c>
      <c r="V18" s="38">
        <v>4</v>
      </c>
      <c r="W18" s="38">
        <v>0</v>
      </c>
      <c r="X18" s="38">
        <v>9</v>
      </c>
      <c r="Y18" s="38">
        <v>4</v>
      </c>
      <c r="Z18" s="41">
        <f t="shared" si="1"/>
        <v>54</v>
      </c>
      <c r="AA18" s="38">
        <f t="shared" si="2"/>
        <v>81.222222222222214</v>
      </c>
      <c r="AB18" s="42">
        <f t="shared" si="3"/>
        <v>62.166666666666657</v>
      </c>
      <c r="AC18" s="38" t="s">
        <v>212</v>
      </c>
    </row>
    <row r="19" spans="1:29" ht="17.100000000000001" customHeight="1">
      <c r="A19" s="18" t="s">
        <v>197</v>
      </c>
      <c r="B19" s="19">
        <v>1810300721</v>
      </c>
      <c r="C19" s="19">
        <v>14</v>
      </c>
      <c r="D19" s="18" t="s">
        <v>213</v>
      </c>
      <c r="E19" s="18" t="s">
        <v>199</v>
      </c>
      <c r="F19" s="7">
        <v>75</v>
      </c>
      <c r="G19" s="7">
        <v>90</v>
      </c>
      <c r="H19" s="7">
        <v>75</v>
      </c>
      <c r="I19" s="7">
        <v>80</v>
      </c>
      <c r="J19" s="26">
        <v>1</v>
      </c>
      <c r="K19" s="26">
        <v>95</v>
      </c>
      <c r="L19" s="26">
        <v>100</v>
      </c>
      <c r="M19">
        <v>90</v>
      </c>
      <c r="N19" s="1">
        <v>100</v>
      </c>
      <c r="O19" s="1">
        <v>100</v>
      </c>
      <c r="P19" s="38">
        <f t="shared" si="0"/>
        <v>80.666666666666671</v>
      </c>
      <c r="Q19" s="38">
        <v>20</v>
      </c>
      <c r="R19" s="38">
        <v>9</v>
      </c>
      <c r="S19" s="38">
        <v>10</v>
      </c>
      <c r="T19" s="38">
        <v>10</v>
      </c>
      <c r="U19" s="38">
        <v>6</v>
      </c>
      <c r="V19" s="38">
        <v>10</v>
      </c>
      <c r="W19" s="38">
        <v>6</v>
      </c>
      <c r="X19" s="38">
        <v>10</v>
      </c>
      <c r="Y19" s="38">
        <v>5</v>
      </c>
      <c r="Z19" s="41">
        <f t="shared" si="1"/>
        <v>86</v>
      </c>
      <c r="AA19" s="38">
        <f t="shared" si="2"/>
        <v>80.666666666666671</v>
      </c>
      <c r="AB19" s="42">
        <f t="shared" si="3"/>
        <v>84.399999999999991</v>
      </c>
      <c r="AC19" s="38" t="s">
        <v>213</v>
      </c>
    </row>
    <row r="20" spans="1:29" ht="17.100000000000001" customHeight="1">
      <c r="A20" s="18" t="s">
        <v>197</v>
      </c>
      <c r="B20" s="19">
        <v>1810300819</v>
      </c>
      <c r="C20" s="19">
        <v>15</v>
      </c>
      <c r="D20" s="18" t="s">
        <v>214</v>
      </c>
      <c r="E20" s="18" t="s">
        <v>199</v>
      </c>
      <c r="F20" s="20">
        <v>80</v>
      </c>
      <c r="G20" s="20">
        <v>80</v>
      </c>
      <c r="H20" s="20">
        <v>80</v>
      </c>
      <c r="I20" s="20">
        <v>80</v>
      </c>
      <c r="J20" s="26">
        <v>90</v>
      </c>
      <c r="K20" s="26">
        <v>90</v>
      </c>
      <c r="L20" s="26">
        <v>90</v>
      </c>
      <c r="M20">
        <v>100</v>
      </c>
      <c r="N20">
        <v>100</v>
      </c>
      <c r="O20">
        <v>100</v>
      </c>
      <c r="P20" s="38">
        <f t="shared" si="0"/>
        <v>90</v>
      </c>
      <c r="Q20" s="38"/>
      <c r="R20" s="38"/>
      <c r="S20" s="38"/>
      <c r="T20" s="38"/>
      <c r="U20" s="38"/>
      <c r="V20" s="38"/>
      <c r="W20" s="38"/>
      <c r="X20" s="38"/>
      <c r="Y20" s="38"/>
      <c r="Z20" s="41">
        <f t="shared" si="1"/>
        <v>0</v>
      </c>
      <c r="AA20" s="38">
        <f t="shared" si="2"/>
        <v>90</v>
      </c>
      <c r="AB20" s="42">
        <f t="shared" si="3"/>
        <v>27</v>
      </c>
      <c r="AC20" s="38" t="s">
        <v>214</v>
      </c>
    </row>
    <row r="21" spans="1:29" ht="17.100000000000001" customHeight="1">
      <c r="A21" s="18" t="s">
        <v>197</v>
      </c>
      <c r="B21" s="19">
        <v>1810300916</v>
      </c>
      <c r="C21" s="19">
        <v>17</v>
      </c>
      <c r="D21" s="18" t="s">
        <v>215</v>
      </c>
      <c r="E21" s="18" t="s">
        <v>199</v>
      </c>
      <c r="F21" s="7">
        <v>90</v>
      </c>
      <c r="G21" s="7">
        <v>90</v>
      </c>
      <c r="H21" s="7">
        <v>90</v>
      </c>
      <c r="I21" s="7">
        <v>90</v>
      </c>
      <c r="J21" s="26">
        <v>100</v>
      </c>
      <c r="K21" s="26">
        <v>95</v>
      </c>
      <c r="L21" s="26">
        <v>95</v>
      </c>
      <c r="M21" s="1">
        <v>100</v>
      </c>
      <c r="N21" s="1">
        <v>100</v>
      </c>
      <c r="O21" s="1">
        <v>100</v>
      </c>
      <c r="P21" s="38">
        <f t="shared" si="0"/>
        <v>95.555555555555557</v>
      </c>
      <c r="Q21" s="38">
        <v>16</v>
      </c>
      <c r="R21" s="38">
        <v>8</v>
      </c>
      <c r="S21" s="38">
        <v>9</v>
      </c>
      <c r="T21" s="38">
        <v>10</v>
      </c>
      <c r="U21" s="38">
        <v>6</v>
      </c>
      <c r="V21" s="38">
        <v>0</v>
      </c>
      <c r="W21" s="38">
        <v>0</v>
      </c>
      <c r="X21" s="38">
        <v>1</v>
      </c>
      <c r="Y21" s="38">
        <v>4</v>
      </c>
      <c r="Z21" s="41">
        <f t="shared" si="1"/>
        <v>54</v>
      </c>
      <c r="AA21" s="38">
        <f t="shared" si="2"/>
        <v>95.555555555555557</v>
      </c>
      <c r="AB21" s="42">
        <f t="shared" si="3"/>
        <v>66.466666666666669</v>
      </c>
      <c r="AC21" s="38" t="s">
        <v>215</v>
      </c>
    </row>
    <row r="22" spans="1:29" ht="17.100000000000001" customHeight="1">
      <c r="A22" s="18" t="s">
        <v>197</v>
      </c>
      <c r="B22" s="19">
        <v>1810300920</v>
      </c>
      <c r="C22" s="19">
        <v>18</v>
      </c>
      <c r="D22" s="18" t="s">
        <v>216</v>
      </c>
      <c r="E22" s="18" t="s">
        <v>199</v>
      </c>
      <c r="F22" s="7">
        <v>95</v>
      </c>
      <c r="G22" s="7">
        <v>100</v>
      </c>
      <c r="H22" s="7">
        <v>95</v>
      </c>
      <c r="I22" s="7">
        <v>100</v>
      </c>
      <c r="J22" s="26">
        <v>100</v>
      </c>
      <c r="K22" s="26">
        <v>95</v>
      </c>
      <c r="L22" s="26">
        <v>95</v>
      </c>
      <c r="M22">
        <v>90</v>
      </c>
      <c r="N22" s="1">
        <v>100</v>
      </c>
      <c r="O22" s="1">
        <v>100</v>
      </c>
      <c r="P22" s="38">
        <f t="shared" si="0"/>
        <v>96.944444444444457</v>
      </c>
      <c r="Q22" s="38">
        <v>16</v>
      </c>
      <c r="R22" s="38">
        <v>7</v>
      </c>
      <c r="S22" s="38">
        <v>9</v>
      </c>
      <c r="T22" s="38">
        <v>10</v>
      </c>
      <c r="U22" s="38">
        <v>2</v>
      </c>
      <c r="V22" s="38">
        <v>4</v>
      </c>
      <c r="W22" s="38">
        <v>6</v>
      </c>
      <c r="X22" s="38">
        <v>7</v>
      </c>
      <c r="Y22" s="38">
        <v>4</v>
      </c>
      <c r="Z22" s="41">
        <f t="shared" si="1"/>
        <v>65</v>
      </c>
      <c r="AA22" s="38">
        <f t="shared" si="2"/>
        <v>96.944444444444457</v>
      </c>
      <c r="AB22" s="42">
        <f t="shared" si="3"/>
        <v>74.583333333333343</v>
      </c>
      <c r="AC22" s="38" t="s">
        <v>216</v>
      </c>
    </row>
    <row r="23" spans="1:29" ht="17.100000000000001" customHeight="1">
      <c r="A23" s="18" t="s">
        <v>197</v>
      </c>
      <c r="B23" s="19">
        <v>1810301019</v>
      </c>
      <c r="C23" s="19">
        <v>19</v>
      </c>
      <c r="D23" s="18" t="s">
        <v>217</v>
      </c>
      <c r="E23" s="18" t="s">
        <v>199</v>
      </c>
      <c r="F23" s="7">
        <v>85</v>
      </c>
      <c r="G23" s="7">
        <v>95</v>
      </c>
      <c r="H23" s="7">
        <v>85</v>
      </c>
      <c r="I23" s="7">
        <v>90</v>
      </c>
      <c r="J23" s="26">
        <v>100</v>
      </c>
      <c r="K23" s="26">
        <v>95</v>
      </c>
      <c r="L23" s="26">
        <v>95</v>
      </c>
      <c r="M23" s="1">
        <v>100</v>
      </c>
      <c r="N23" s="1">
        <v>100</v>
      </c>
      <c r="O23" s="7">
        <v>90</v>
      </c>
      <c r="P23" s="38">
        <f t="shared" si="0"/>
        <v>94.027777777777786</v>
      </c>
      <c r="Q23" s="38">
        <v>12</v>
      </c>
      <c r="R23" s="38">
        <v>8</v>
      </c>
      <c r="S23" s="38">
        <v>9</v>
      </c>
      <c r="T23" s="38">
        <v>10</v>
      </c>
      <c r="U23" s="38">
        <v>4</v>
      </c>
      <c r="V23" s="38">
        <v>2</v>
      </c>
      <c r="W23" s="38">
        <v>0</v>
      </c>
      <c r="X23" s="38">
        <v>6</v>
      </c>
      <c r="Y23" s="38">
        <v>3</v>
      </c>
      <c r="Z23" s="41">
        <f t="shared" si="1"/>
        <v>54</v>
      </c>
      <c r="AA23" s="38">
        <f t="shared" si="2"/>
        <v>94.027777777777786</v>
      </c>
      <c r="AB23" s="42">
        <f t="shared" si="3"/>
        <v>66.008333333333326</v>
      </c>
      <c r="AC23" s="38" t="s">
        <v>217</v>
      </c>
    </row>
    <row r="24" spans="1:29" ht="17.100000000000001" customHeight="1">
      <c r="A24" s="18" t="s">
        <v>197</v>
      </c>
      <c r="B24" s="19">
        <v>1810301001</v>
      </c>
      <c r="C24" s="19">
        <v>20</v>
      </c>
      <c r="D24" s="18" t="s">
        <v>218</v>
      </c>
      <c r="E24" s="18" t="s">
        <v>199</v>
      </c>
      <c r="F24" s="7">
        <v>80</v>
      </c>
      <c r="G24" s="7">
        <v>90</v>
      </c>
      <c r="H24" s="7">
        <v>85</v>
      </c>
      <c r="I24" s="7">
        <v>80</v>
      </c>
      <c r="J24" s="26">
        <v>100</v>
      </c>
      <c r="K24" s="26">
        <v>95</v>
      </c>
      <c r="L24" s="26">
        <v>100</v>
      </c>
      <c r="M24" s="1">
        <v>100</v>
      </c>
      <c r="N24" s="1">
        <v>100</v>
      </c>
      <c r="O24" s="1">
        <v>100</v>
      </c>
      <c r="P24" s="38">
        <f t="shared" si="0"/>
        <v>94.027777777777771</v>
      </c>
      <c r="Q24" s="38">
        <v>12</v>
      </c>
      <c r="R24" s="38">
        <v>7</v>
      </c>
      <c r="S24" s="38">
        <v>9</v>
      </c>
      <c r="T24" s="38">
        <v>10</v>
      </c>
      <c r="U24" s="38">
        <v>0</v>
      </c>
      <c r="V24" s="38">
        <v>6</v>
      </c>
      <c r="W24" s="38">
        <v>0</v>
      </c>
      <c r="X24" s="38">
        <v>10</v>
      </c>
      <c r="Y24" s="38">
        <v>0</v>
      </c>
      <c r="Z24" s="41">
        <f t="shared" si="1"/>
        <v>54</v>
      </c>
      <c r="AA24" s="38">
        <f t="shared" si="2"/>
        <v>94.027777777777771</v>
      </c>
      <c r="AB24" s="42">
        <f t="shared" si="3"/>
        <v>66.008333333333326</v>
      </c>
      <c r="AC24" s="38" t="s">
        <v>218</v>
      </c>
    </row>
    <row r="25" spans="1:29" ht="17.100000000000001" customHeight="1">
      <c r="A25" s="18" t="s">
        <v>197</v>
      </c>
      <c r="B25" s="19">
        <v>1810301002</v>
      </c>
      <c r="C25" s="19">
        <v>21</v>
      </c>
      <c r="D25" s="18" t="s">
        <v>219</v>
      </c>
      <c r="E25" s="18" t="s">
        <v>199</v>
      </c>
      <c r="F25" s="7">
        <v>70</v>
      </c>
      <c r="G25" s="7">
        <v>90</v>
      </c>
      <c r="H25" s="7">
        <v>80</v>
      </c>
      <c r="I25" s="7">
        <v>85</v>
      </c>
      <c r="J25" s="26">
        <v>100</v>
      </c>
      <c r="K25" s="26">
        <v>95</v>
      </c>
      <c r="L25" s="26">
        <v>95</v>
      </c>
      <c r="M25" s="1">
        <v>100</v>
      </c>
      <c r="N25" s="1">
        <v>100</v>
      </c>
      <c r="O25" s="1">
        <v>100</v>
      </c>
      <c r="P25" s="38">
        <f t="shared" si="0"/>
        <v>92.6388888888889</v>
      </c>
      <c r="Q25" s="38">
        <v>16</v>
      </c>
      <c r="R25" s="38">
        <v>7</v>
      </c>
      <c r="S25" s="38">
        <v>9</v>
      </c>
      <c r="T25" s="38">
        <v>10</v>
      </c>
      <c r="U25" s="38">
        <v>4</v>
      </c>
      <c r="V25" s="38">
        <v>4</v>
      </c>
      <c r="W25" s="38">
        <v>6</v>
      </c>
      <c r="X25" s="38">
        <v>7</v>
      </c>
      <c r="Y25" s="38">
        <v>4</v>
      </c>
      <c r="Z25" s="41">
        <f t="shared" si="1"/>
        <v>67</v>
      </c>
      <c r="AA25" s="38">
        <f t="shared" si="2"/>
        <v>92.6388888888889</v>
      </c>
      <c r="AB25" s="42">
        <f t="shared" si="3"/>
        <v>74.691666666666663</v>
      </c>
      <c r="AC25" s="38" t="s">
        <v>219</v>
      </c>
    </row>
    <row r="26" spans="1:29" ht="17.100000000000001" customHeight="1">
      <c r="A26" s="18" t="s">
        <v>197</v>
      </c>
      <c r="B26" s="19">
        <v>1810301005</v>
      </c>
      <c r="C26" s="19">
        <v>22</v>
      </c>
      <c r="D26" s="18" t="s">
        <v>220</v>
      </c>
      <c r="E26" s="18" t="s">
        <v>199</v>
      </c>
      <c r="F26" s="7">
        <v>100</v>
      </c>
      <c r="G26" s="7">
        <v>95</v>
      </c>
      <c r="H26" s="7">
        <v>80</v>
      </c>
      <c r="I26" s="7">
        <v>100</v>
      </c>
      <c r="J26" s="26">
        <v>100</v>
      </c>
      <c r="K26" s="26">
        <v>100</v>
      </c>
      <c r="L26" s="26">
        <v>95</v>
      </c>
      <c r="M26">
        <v>90</v>
      </c>
      <c r="N26">
        <v>100</v>
      </c>
      <c r="O26" s="1">
        <v>100</v>
      </c>
      <c r="P26" s="38">
        <f t="shared" si="0"/>
        <v>96.25</v>
      </c>
      <c r="Q26" s="38">
        <v>20</v>
      </c>
      <c r="R26" s="38">
        <v>6</v>
      </c>
      <c r="S26" s="38">
        <v>10</v>
      </c>
      <c r="T26" s="38">
        <v>10</v>
      </c>
      <c r="U26" s="38">
        <v>6</v>
      </c>
      <c r="V26" s="38">
        <v>8</v>
      </c>
      <c r="W26" s="38">
        <v>8</v>
      </c>
      <c r="X26" s="38">
        <v>8</v>
      </c>
      <c r="Y26" s="38">
        <v>6</v>
      </c>
      <c r="Z26" s="41">
        <f t="shared" si="1"/>
        <v>82</v>
      </c>
      <c r="AA26" s="38">
        <f t="shared" si="2"/>
        <v>96.25</v>
      </c>
      <c r="AB26" s="42">
        <f t="shared" si="3"/>
        <v>86.275000000000006</v>
      </c>
      <c r="AC26" s="38" t="s">
        <v>220</v>
      </c>
    </row>
    <row r="27" spans="1:29" ht="17.100000000000001" customHeight="1">
      <c r="A27" s="18" t="s">
        <v>197</v>
      </c>
      <c r="B27" s="19">
        <v>1810301015</v>
      </c>
      <c r="C27" s="19">
        <v>23</v>
      </c>
      <c r="D27" s="18" t="s">
        <v>221</v>
      </c>
      <c r="E27" s="18" t="s">
        <v>199</v>
      </c>
      <c r="F27" s="7">
        <v>85</v>
      </c>
      <c r="G27" s="7">
        <v>85</v>
      </c>
      <c r="H27" s="7">
        <v>85</v>
      </c>
      <c r="I27" s="7">
        <v>85</v>
      </c>
      <c r="J27" s="26">
        <v>100</v>
      </c>
      <c r="K27" s="26">
        <v>95</v>
      </c>
      <c r="L27" s="26">
        <v>95</v>
      </c>
      <c r="M27">
        <v>90</v>
      </c>
      <c r="N27" s="1">
        <v>100</v>
      </c>
      <c r="O27" s="1">
        <v>100</v>
      </c>
      <c r="P27" s="38">
        <f t="shared" si="0"/>
        <v>92.777777777777786</v>
      </c>
      <c r="Q27" s="38">
        <v>12</v>
      </c>
      <c r="R27" s="38">
        <v>5</v>
      </c>
      <c r="S27" s="38">
        <v>9</v>
      </c>
      <c r="T27" s="38">
        <v>10</v>
      </c>
      <c r="U27" s="38">
        <v>6</v>
      </c>
      <c r="V27" s="38">
        <v>4</v>
      </c>
      <c r="W27" s="38">
        <v>10</v>
      </c>
      <c r="X27" s="38">
        <v>10</v>
      </c>
      <c r="Y27" s="38">
        <v>6</v>
      </c>
      <c r="Z27" s="41">
        <f t="shared" si="1"/>
        <v>72</v>
      </c>
      <c r="AA27" s="38">
        <f t="shared" si="2"/>
        <v>92.777777777777786</v>
      </c>
      <c r="AB27" s="42">
        <f t="shared" si="3"/>
        <v>78.233333333333334</v>
      </c>
      <c r="AC27" s="38" t="s">
        <v>221</v>
      </c>
    </row>
    <row r="28" spans="1:29" ht="17.100000000000001" customHeight="1">
      <c r="A28" s="18" t="s">
        <v>197</v>
      </c>
      <c r="B28" s="19">
        <v>1810301020</v>
      </c>
      <c r="C28" s="19">
        <v>24</v>
      </c>
      <c r="D28" s="18" t="s">
        <v>222</v>
      </c>
      <c r="E28" s="18" t="s">
        <v>199</v>
      </c>
      <c r="F28" s="7">
        <v>85</v>
      </c>
      <c r="G28" s="7">
        <v>85</v>
      </c>
      <c r="H28" s="7">
        <v>80</v>
      </c>
      <c r="I28" s="7">
        <v>80</v>
      </c>
      <c r="J28" s="26">
        <v>100</v>
      </c>
      <c r="K28" s="26">
        <v>95</v>
      </c>
      <c r="L28" s="26">
        <v>95</v>
      </c>
      <c r="M28" s="1">
        <v>100</v>
      </c>
      <c r="N28" s="1">
        <v>100</v>
      </c>
      <c r="O28" s="1">
        <v>100</v>
      </c>
      <c r="P28" s="38">
        <f t="shared" si="0"/>
        <v>93.055555555555557</v>
      </c>
      <c r="Q28" s="38">
        <v>12</v>
      </c>
      <c r="R28" s="38">
        <v>6</v>
      </c>
      <c r="S28" s="38">
        <v>9</v>
      </c>
      <c r="T28" s="38">
        <v>10</v>
      </c>
      <c r="U28" s="38">
        <v>4</v>
      </c>
      <c r="V28" s="38">
        <v>6</v>
      </c>
      <c r="W28" s="38">
        <v>6</v>
      </c>
      <c r="X28" s="38">
        <v>10</v>
      </c>
      <c r="Y28" s="38">
        <v>5</v>
      </c>
      <c r="Z28" s="41">
        <f t="shared" si="1"/>
        <v>68</v>
      </c>
      <c r="AA28" s="38">
        <f t="shared" si="2"/>
        <v>93.055555555555557</v>
      </c>
      <c r="AB28" s="42">
        <f t="shared" si="3"/>
        <v>75.516666666666666</v>
      </c>
      <c r="AC28" s="38" t="s">
        <v>222</v>
      </c>
    </row>
    <row r="29" spans="1:29" ht="17.100000000000001" customHeight="1">
      <c r="A29" s="18" t="s">
        <v>197</v>
      </c>
      <c r="B29" s="19">
        <v>1810301128</v>
      </c>
      <c r="C29" s="19">
        <v>25</v>
      </c>
      <c r="D29" s="18" t="s">
        <v>223</v>
      </c>
      <c r="E29" s="18" t="s">
        <v>209</v>
      </c>
      <c r="F29" s="7">
        <v>100</v>
      </c>
      <c r="G29" s="7">
        <v>100</v>
      </c>
      <c r="H29" s="7">
        <v>100</v>
      </c>
      <c r="I29" s="7">
        <v>100</v>
      </c>
      <c r="J29" s="26">
        <v>100</v>
      </c>
      <c r="K29" s="26">
        <v>100</v>
      </c>
      <c r="L29" s="26">
        <v>100</v>
      </c>
      <c r="M29">
        <v>100</v>
      </c>
      <c r="N29" s="1">
        <v>100</v>
      </c>
      <c r="O29" s="1">
        <v>100</v>
      </c>
      <c r="P29" s="38">
        <f t="shared" si="0"/>
        <v>100</v>
      </c>
      <c r="Q29" s="38">
        <v>16</v>
      </c>
      <c r="R29" s="38">
        <v>8</v>
      </c>
      <c r="S29" s="38">
        <v>9</v>
      </c>
      <c r="T29" s="38">
        <v>10</v>
      </c>
      <c r="U29" s="38">
        <v>4</v>
      </c>
      <c r="V29" s="38">
        <v>8</v>
      </c>
      <c r="W29" s="38">
        <v>6</v>
      </c>
      <c r="X29" s="38">
        <v>2</v>
      </c>
      <c r="Y29" s="38">
        <v>6</v>
      </c>
      <c r="Z29" s="41">
        <f t="shared" si="1"/>
        <v>69</v>
      </c>
      <c r="AA29" s="38">
        <f t="shared" si="2"/>
        <v>100</v>
      </c>
      <c r="AB29" s="42">
        <f t="shared" si="3"/>
        <v>78.3</v>
      </c>
      <c r="AC29" s="38" t="s">
        <v>223</v>
      </c>
    </row>
    <row r="30" spans="1:29" ht="17.100000000000001" customHeight="1">
      <c r="A30" s="18" t="s">
        <v>197</v>
      </c>
      <c r="B30" s="19">
        <v>1810301107</v>
      </c>
      <c r="C30" s="19">
        <v>26</v>
      </c>
      <c r="D30" s="18" t="s">
        <v>224</v>
      </c>
      <c r="E30" s="18" t="s">
        <v>199</v>
      </c>
      <c r="F30" s="7">
        <v>80</v>
      </c>
      <c r="G30" s="7">
        <v>80</v>
      </c>
      <c r="H30" s="7">
        <v>85</v>
      </c>
      <c r="I30" s="7">
        <v>80</v>
      </c>
      <c r="J30" s="26">
        <v>100</v>
      </c>
      <c r="K30" s="26">
        <v>95</v>
      </c>
      <c r="L30" s="26">
        <v>100</v>
      </c>
      <c r="M30" s="1">
        <v>100</v>
      </c>
      <c r="N30" s="1">
        <v>100</v>
      </c>
      <c r="O30" s="1">
        <v>100</v>
      </c>
      <c r="P30" s="38">
        <f t="shared" si="0"/>
        <v>93.194444444444443</v>
      </c>
      <c r="Q30" s="38">
        <v>12</v>
      </c>
      <c r="R30" s="38">
        <v>7</v>
      </c>
      <c r="S30" s="38">
        <v>9</v>
      </c>
      <c r="T30" s="38">
        <v>10</v>
      </c>
      <c r="U30" s="38">
        <v>2</v>
      </c>
      <c r="V30" s="38">
        <v>4</v>
      </c>
      <c r="W30" s="38">
        <v>0</v>
      </c>
      <c r="X30" s="38">
        <v>2</v>
      </c>
      <c r="Y30" s="38">
        <v>2</v>
      </c>
      <c r="Z30" s="41">
        <f t="shared" si="1"/>
        <v>48</v>
      </c>
      <c r="AA30" s="38">
        <f t="shared" si="2"/>
        <v>93.194444444444443</v>
      </c>
      <c r="AB30" s="42">
        <f t="shared" si="3"/>
        <v>61.558333333333323</v>
      </c>
      <c r="AC30" s="38" t="s">
        <v>224</v>
      </c>
    </row>
    <row r="31" spans="1:29" ht="17.100000000000001" customHeight="1">
      <c r="A31" s="18" t="s">
        <v>197</v>
      </c>
      <c r="B31" s="19">
        <v>1810301110</v>
      </c>
      <c r="C31" s="19">
        <v>27</v>
      </c>
      <c r="D31" s="18" t="s">
        <v>225</v>
      </c>
      <c r="E31" s="18" t="s">
        <v>199</v>
      </c>
      <c r="F31" s="7">
        <v>80</v>
      </c>
      <c r="G31" s="7">
        <v>80</v>
      </c>
      <c r="H31" s="7">
        <v>80</v>
      </c>
      <c r="I31" s="7">
        <v>80</v>
      </c>
      <c r="J31" s="26">
        <v>100</v>
      </c>
      <c r="K31" s="26">
        <v>95</v>
      </c>
      <c r="L31" s="26">
        <v>95</v>
      </c>
      <c r="M31">
        <v>90</v>
      </c>
      <c r="N31">
        <v>100</v>
      </c>
      <c r="O31" s="1">
        <v>100</v>
      </c>
      <c r="P31" s="38">
        <f t="shared" si="0"/>
        <v>91.111111111111128</v>
      </c>
      <c r="Q31" s="38">
        <v>8</v>
      </c>
      <c r="R31" s="38">
        <v>7</v>
      </c>
      <c r="S31" s="38">
        <v>9</v>
      </c>
      <c r="T31" s="38">
        <v>10</v>
      </c>
      <c r="U31" s="38">
        <v>0</v>
      </c>
      <c r="V31" s="38">
        <v>4</v>
      </c>
      <c r="W31" s="38">
        <v>0</v>
      </c>
      <c r="X31" s="38">
        <v>6</v>
      </c>
      <c r="Y31" s="38">
        <v>3</v>
      </c>
      <c r="Z31" s="41">
        <f t="shared" si="1"/>
        <v>47</v>
      </c>
      <c r="AA31" s="38">
        <f t="shared" si="2"/>
        <v>91.111111111111128</v>
      </c>
      <c r="AB31" s="42">
        <f t="shared" si="3"/>
        <v>60.233333333333334</v>
      </c>
      <c r="AC31" s="38" t="s">
        <v>225</v>
      </c>
    </row>
    <row r="32" spans="1:29" ht="17.100000000000001" customHeight="1">
      <c r="A32" s="18" t="s">
        <v>197</v>
      </c>
      <c r="B32" s="19">
        <v>1810301117</v>
      </c>
      <c r="C32" s="19">
        <v>28</v>
      </c>
      <c r="D32" s="18" t="s">
        <v>226</v>
      </c>
      <c r="E32" s="18" t="s">
        <v>199</v>
      </c>
      <c r="F32" s="7">
        <v>80</v>
      </c>
      <c r="G32" s="7">
        <v>80</v>
      </c>
      <c r="H32" s="7">
        <v>80</v>
      </c>
      <c r="I32" s="7">
        <v>80</v>
      </c>
      <c r="J32" s="26">
        <v>100</v>
      </c>
      <c r="K32" s="26">
        <v>100</v>
      </c>
      <c r="L32" s="26">
        <v>95</v>
      </c>
      <c r="M32">
        <v>90</v>
      </c>
      <c r="N32" s="1">
        <v>100</v>
      </c>
      <c r="O32" s="1">
        <v>100</v>
      </c>
      <c r="P32" s="38">
        <f t="shared" si="0"/>
        <v>91.666666666666671</v>
      </c>
      <c r="Q32" s="38">
        <v>16</v>
      </c>
      <c r="R32" s="38">
        <v>8</v>
      </c>
      <c r="S32" s="38">
        <v>10</v>
      </c>
      <c r="T32" s="38">
        <v>10</v>
      </c>
      <c r="U32" s="38">
        <v>0</v>
      </c>
      <c r="V32" s="38">
        <v>4</v>
      </c>
      <c r="W32" s="38">
        <v>6</v>
      </c>
      <c r="X32" s="38">
        <v>4</v>
      </c>
      <c r="Y32" s="38">
        <v>4</v>
      </c>
      <c r="Z32" s="41">
        <f t="shared" si="1"/>
        <v>62</v>
      </c>
      <c r="AA32" s="38">
        <f t="shared" si="2"/>
        <v>91.666666666666671</v>
      </c>
      <c r="AB32" s="42">
        <f t="shared" si="3"/>
        <v>70.900000000000006</v>
      </c>
      <c r="AC32" s="38" t="s">
        <v>226</v>
      </c>
    </row>
    <row r="33" spans="1:29" ht="17.100000000000001" customHeight="1">
      <c r="A33" s="18" t="s">
        <v>197</v>
      </c>
      <c r="B33" s="19">
        <v>1810301202</v>
      </c>
      <c r="C33" s="19">
        <v>29</v>
      </c>
      <c r="D33" s="18" t="s">
        <v>227</v>
      </c>
      <c r="E33" s="18" t="s">
        <v>199</v>
      </c>
      <c r="F33" s="7">
        <v>100</v>
      </c>
      <c r="G33" s="7">
        <v>100</v>
      </c>
      <c r="H33" s="7">
        <v>100</v>
      </c>
      <c r="I33" s="7">
        <v>100</v>
      </c>
      <c r="J33" s="26">
        <v>100</v>
      </c>
      <c r="K33" s="26">
        <v>95</v>
      </c>
      <c r="L33" s="26">
        <v>95</v>
      </c>
      <c r="M33" s="1">
        <v>100</v>
      </c>
      <c r="N33" s="1">
        <v>100</v>
      </c>
      <c r="O33" s="1">
        <v>100</v>
      </c>
      <c r="P33" s="38">
        <f t="shared" si="0"/>
        <v>98.8888888888889</v>
      </c>
      <c r="Q33" s="38">
        <v>16</v>
      </c>
      <c r="R33" s="38">
        <v>9</v>
      </c>
      <c r="S33" s="38">
        <v>10</v>
      </c>
      <c r="T33" s="38">
        <v>10</v>
      </c>
      <c r="U33" s="38">
        <v>4</v>
      </c>
      <c r="V33" s="38">
        <v>8</v>
      </c>
      <c r="W33" s="38">
        <v>6</v>
      </c>
      <c r="X33" s="38">
        <v>10</v>
      </c>
      <c r="Y33" s="38">
        <v>7</v>
      </c>
      <c r="Z33" s="41">
        <f t="shared" si="1"/>
        <v>80</v>
      </c>
      <c r="AA33" s="38">
        <f t="shared" si="2"/>
        <v>98.8888888888889</v>
      </c>
      <c r="AB33" s="42">
        <f t="shared" si="3"/>
        <v>85.666666666666671</v>
      </c>
      <c r="AC33" s="38" t="s">
        <v>227</v>
      </c>
    </row>
    <row r="34" spans="1:29" ht="17.100000000000001" customHeight="1">
      <c r="A34" s="18" t="s">
        <v>197</v>
      </c>
      <c r="B34" s="19">
        <v>1810301205</v>
      </c>
      <c r="C34" s="19">
        <v>30</v>
      </c>
      <c r="D34" s="18" t="s">
        <v>228</v>
      </c>
      <c r="E34" s="18" t="s">
        <v>199</v>
      </c>
      <c r="F34" s="7">
        <v>95</v>
      </c>
      <c r="G34" s="7">
        <v>90</v>
      </c>
      <c r="H34" s="7">
        <v>85</v>
      </c>
      <c r="I34" s="7">
        <v>90</v>
      </c>
      <c r="J34" s="26">
        <v>100</v>
      </c>
      <c r="K34" s="26">
        <v>95</v>
      </c>
      <c r="L34" s="26">
        <v>100</v>
      </c>
      <c r="M34">
        <v>100</v>
      </c>
      <c r="N34" s="1">
        <v>100</v>
      </c>
      <c r="O34" s="1">
        <v>100</v>
      </c>
      <c r="P34" s="38">
        <f t="shared" si="0"/>
        <v>96.1111111111111</v>
      </c>
      <c r="Q34" s="38">
        <v>16</v>
      </c>
      <c r="R34" s="38">
        <v>6</v>
      </c>
      <c r="S34" s="38">
        <v>9</v>
      </c>
      <c r="T34" s="38">
        <v>10</v>
      </c>
      <c r="U34" s="38">
        <v>6</v>
      </c>
      <c r="V34" s="38">
        <v>6</v>
      </c>
      <c r="W34" s="38">
        <v>6</v>
      </c>
      <c r="X34" s="38">
        <v>3</v>
      </c>
      <c r="Y34" s="38">
        <v>6</v>
      </c>
      <c r="Z34" s="41">
        <f t="shared" si="1"/>
        <v>68</v>
      </c>
      <c r="AA34" s="38">
        <f t="shared" si="2"/>
        <v>96.1111111111111</v>
      </c>
      <c r="AB34" s="42">
        <f t="shared" si="3"/>
        <v>76.433333333333323</v>
      </c>
      <c r="AC34" s="38" t="s">
        <v>228</v>
      </c>
    </row>
    <row r="35" spans="1:29" ht="17.100000000000001" customHeight="1">
      <c r="A35" s="18" t="s">
        <v>197</v>
      </c>
      <c r="B35" s="19">
        <v>1710651207</v>
      </c>
      <c r="C35" s="19">
        <v>31</v>
      </c>
      <c r="D35" s="18" t="s">
        <v>229</v>
      </c>
      <c r="E35" s="18" t="s">
        <v>199</v>
      </c>
      <c r="F35" s="7">
        <v>0</v>
      </c>
      <c r="G35" s="7">
        <v>80</v>
      </c>
      <c r="H35" s="7">
        <v>80</v>
      </c>
      <c r="I35" s="7">
        <v>85</v>
      </c>
      <c r="J35" s="26">
        <v>100</v>
      </c>
      <c r="K35" s="26">
        <v>95</v>
      </c>
      <c r="L35" s="26">
        <v>95</v>
      </c>
      <c r="M35" s="1">
        <v>100</v>
      </c>
      <c r="N35" s="1">
        <v>100</v>
      </c>
      <c r="O35" s="1">
        <v>100</v>
      </c>
      <c r="P35" s="38">
        <f t="shared" si="0"/>
        <v>85.972222222222229</v>
      </c>
      <c r="Q35" s="38">
        <v>16</v>
      </c>
      <c r="R35" s="38">
        <v>7</v>
      </c>
      <c r="S35" s="38">
        <v>9</v>
      </c>
      <c r="T35" s="38">
        <v>0</v>
      </c>
      <c r="U35" s="38">
        <v>0</v>
      </c>
      <c r="V35" s="38">
        <v>2</v>
      </c>
      <c r="W35" s="38">
        <v>2</v>
      </c>
      <c r="X35" s="38">
        <v>0</v>
      </c>
      <c r="Y35" s="38">
        <v>5</v>
      </c>
      <c r="Z35" s="41">
        <f t="shared" si="1"/>
        <v>41</v>
      </c>
      <c r="AA35" s="38">
        <f t="shared" si="2"/>
        <v>85.972222222222229</v>
      </c>
      <c r="AB35" s="42">
        <f t="shared" si="3"/>
        <v>54.491666666666667</v>
      </c>
      <c r="AC35" s="38" t="s">
        <v>229</v>
      </c>
    </row>
    <row r="36" spans="1:29" ht="17.25">
      <c r="F36" s="48">
        <f>COUNTIF(F$6:F$35,"&gt;=90")/COUNT(F$6:F$35)</f>
        <v>0.43333333333333335</v>
      </c>
      <c r="G36" s="48">
        <f>COUNTIF(G$6:G$35,"&gt;=90")/COUNT(G$6:G$35)</f>
        <v>0.56666666666666665</v>
      </c>
      <c r="H36" s="48">
        <f>COUNTIF(H$6:H$35,"&gt;=90")/COUNT(H$6:H$35)</f>
        <v>0.23333333333333334</v>
      </c>
      <c r="I36" s="48">
        <f>COUNTIF(I$6:I$35,"&gt;=90")/COUNT(I$6:I$35)</f>
        <v>0.4</v>
      </c>
      <c r="J36" s="7"/>
      <c r="K36" s="7"/>
      <c r="L36" s="7"/>
      <c r="O36" s="7"/>
      <c r="P36" s="38"/>
      <c r="Z36">
        <f>COUNTIF(Z$6:Z$35,"&gt;=90")</f>
        <v>0</v>
      </c>
      <c r="AA36" s="46">
        <f>Z36/29</f>
        <v>0</v>
      </c>
      <c r="AB36">
        <f>COUNTIF(AB$6:AB$35,"&gt;=90")</f>
        <v>0</v>
      </c>
      <c r="AC36" s="46">
        <f t="shared" ref="AC36:AC40" si="4">AB36/29</f>
        <v>0</v>
      </c>
    </row>
    <row r="37" spans="1:29" ht="14.25">
      <c r="F37" s="48">
        <f>COUNTIF(F$6:F$35,"&gt;=80")/COUNT(F$6:F$35)</f>
        <v>0.8666666666666667</v>
      </c>
      <c r="G37" s="48">
        <f>COUNTIF(G$6:G$35,"&gt;=80")/COUNT(G$6:G$35)</f>
        <v>0.96666666666666667</v>
      </c>
      <c r="H37" s="48">
        <f>COUNTIF(H$6:H$35,"&gt;=80")/COUNT(H$6:H$35)</f>
        <v>0.93333333333333335</v>
      </c>
      <c r="I37" s="48">
        <f>COUNTIF(I$6:I$35,"&gt;=80")/COUNT(I$6:I$35)</f>
        <v>0.96666666666666667</v>
      </c>
      <c r="Z37">
        <f>COUNTIF(Z$6:Z$35,"&gt;=80")</f>
        <v>4</v>
      </c>
      <c r="AA37" s="46">
        <f>Z37/29</f>
        <v>0.13793103448275862</v>
      </c>
      <c r="AB37">
        <f>COUNTIF(AB$6:AB$35,"&gt;=80")</f>
        <v>4</v>
      </c>
      <c r="AC37" s="46">
        <f t="shared" si="4"/>
        <v>0.13793103448275862</v>
      </c>
    </row>
    <row r="38" spans="1:29" ht="14.25">
      <c r="F38" s="48">
        <f>COUNTIF(F$6:F$35,"&gt;=70")/COUNT(F$6:F$35)</f>
        <v>0.93333333333333335</v>
      </c>
      <c r="G38" s="48">
        <f>COUNTIF(G$6:G$35,"&gt;=70")/COUNT(G$6:G$35)</f>
        <v>0.96666666666666667</v>
      </c>
      <c r="H38" s="48">
        <f>COUNTIF(H$6:H$35,"&gt;=70")/COUNT(H$6:H$35)</f>
        <v>0.96666666666666667</v>
      </c>
      <c r="I38" s="48">
        <f>COUNTIF(I$6:I$35,"&gt;=70")/COUNT(I$6:I$35)</f>
        <v>0.96666666666666667</v>
      </c>
      <c r="Z38">
        <f>COUNTIF(Z$6:Z$35,"&gt;=70")</f>
        <v>5</v>
      </c>
      <c r="AA38" s="46">
        <f>Z38/29</f>
        <v>0.17241379310344829</v>
      </c>
      <c r="AB38">
        <f>COUNTIF(AB$6:AB$35,"&gt;=70")</f>
        <v>16</v>
      </c>
      <c r="AC38" s="46">
        <f t="shared" si="4"/>
        <v>0.55172413793103448</v>
      </c>
    </row>
    <row r="39" spans="1:29" ht="14.25">
      <c r="F39" s="48">
        <f>COUNTIF(F$6:F$35,"&gt;=0")/COUNT(F$6:F$35)</f>
        <v>1</v>
      </c>
      <c r="G39" s="48">
        <f>COUNTIF(G$6:G$35,"&gt;=0")/COUNT(G$6:G$35)</f>
        <v>1</v>
      </c>
      <c r="H39" s="48">
        <f>COUNTIF(H$6:H$35,"&gt;=0")/COUNT(H$6:H$35)</f>
        <v>1</v>
      </c>
      <c r="I39" s="48">
        <f>COUNTIF(I$6:I$35,"&gt;=0")/COUNT(I$6:I$35)</f>
        <v>1</v>
      </c>
      <c r="Z39">
        <f>COUNTIF(Z$6:Z$35,"&gt;=60")</f>
        <v>17</v>
      </c>
      <c r="AA39" s="46">
        <f>Z39/29</f>
        <v>0.58620689655172409</v>
      </c>
      <c r="AB39">
        <f>COUNTIF(AB$6:AB$35,"&gt;=60")</f>
        <v>26</v>
      </c>
      <c r="AC39" s="46">
        <f t="shared" si="4"/>
        <v>0.89655172413793105</v>
      </c>
    </row>
    <row r="40" spans="1:29">
      <c r="F40" s="51"/>
      <c r="G40" s="51"/>
      <c r="H40" s="51"/>
      <c r="I40" s="51"/>
      <c r="Z40">
        <f>COUNTIF(Z$6:Z$35,"&gt;=30")</f>
        <v>29</v>
      </c>
      <c r="AA40" s="46">
        <f>Z40/29</f>
        <v>1</v>
      </c>
      <c r="AB40">
        <f>COUNTIF(AB$6:AB$35,"&gt;=30")</f>
        <v>29</v>
      </c>
      <c r="AC40" s="46">
        <f t="shared" si="4"/>
        <v>1</v>
      </c>
    </row>
    <row r="41" spans="1:29">
      <c r="Z41">
        <f>AVERAGE(Z6:Z35)</f>
        <v>59</v>
      </c>
      <c r="AB41">
        <f>AVERAGE(AB6:AB35)</f>
        <v>69.031388888888884</v>
      </c>
    </row>
    <row r="42" spans="1:29">
      <c r="Z42">
        <f>STDEV(Z6:Z35)</f>
        <v>16.854345597419123</v>
      </c>
      <c r="AB42">
        <f>STDEV(AB6:AB35)</f>
        <v>12.144282408882487</v>
      </c>
    </row>
  </sheetData>
  <mergeCells count="15">
    <mergeCell ref="P4:P5"/>
    <mergeCell ref="AC4:AC5"/>
    <mergeCell ref="G2:J3"/>
    <mergeCell ref="K2:M3"/>
    <mergeCell ref="A3:B3"/>
    <mergeCell ref="A4:A5"/>
    <mergeCell ref="B4:B5"/>
    <mergeCell ref="D4:D5"/>
    <mergeCell ref="E4:E5"/>
    <mergeCell ref="A1:B1"/>
    <mergeCell ref="D1:F1"/>
    <mergeCell ref="G1:J1"/>
    <mergeCell ref="K1:M1"/>
    <mergeCell ref="A2:B2"/>
    <mergeCell ref="D2:F2"/>
  </mergeCells>
  <phoneticPr fontId="18" type="noConversion"/>
  <conditionalFormatting sqref="AB6:AB35">
    <cfRule type="cellIs" dxfId="11" priority="1" operator="lessThan">
      <formula>60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1"/>
  <sheetViews>
    <sheetView workbookViewId="0">
      <selection sqref="A1:P34"/>
    </sheetView>
  </sheetViews>
  <sheetFormatPr defaultColWidth="10" defaultRowHeight="14.25"/>
  <cols>
    <col min="1" max="1" width="10" style="1"/>
    <col min="2" max="2" width="14.875" style="1" customWidth="1"/>
    <col min="3" max="3" width="7.875" style="1" customWidth="1"/>
    <col min="4" max="16" width="10" style="1"/>
    <col min="17" max="19" width="10" style="47"/>
    <col min="20" max="22" width="10" style="1"/>
    <col min="23" max="25" width="10" style="2"/>
    <col min="26" max="26" width="10" style="1"/>
    <col min="27" max="27" width="12.625" style="1"/>
    <col min="28" max="16384" width="10" style="1"/>
  </cols>
  <sheetData>
    <row r="1" spans="1:29" ht="17.25">
      <c r="A1" s="55" t="s">
        <v>0</v>
      </c>
      <c r="B1" s="56"/>
      <c r="C1" s="4"/>
      <c r="D1" s="55" t="s">
        <v>1</v>
      </c>
      <c r="E1" s="57"/>
      <c r="F1" s="57"/>
      <c r="G1" s="58" t="s">
        <v>2</v>
      </c>
      <c r="H1" s="59"/>
      <c r="I1" s="59"/>
      <c r="J1" s="59"/>
      <c r="K1" s="55" t="s">
        <v>3</v>
      </c>
      <c r="L1" s="55"/>
      <c r="M1" s="55"/>
      <c r="AC1" s="3" t="s">
        <v>1</v>
      </c>
    </row>
    <row r="2" spans="1:29" ht="17.25">
      <c r="A2" s="60" t="s">
        <v>4</v>
      </c>
      <c r="B2" s="61"/>
      <c r="C2" s="16"/>
      <c r="D2" s="55" t="s">
        <v>5</v>
      </c>
      <c r="E2" s="57"/>
      <c r="F2" s="57"/>
      <c r="G2" s="69" t="s">
        <v>6</v>
      </c>
      <c r="H2" s="70"/>
      <c r="I2" s="70"/>
      <c r="J2" s="70"/>
      <c r="K2" s="72" t="s">
        <v>7</v>
      </c>
      <c r="L2" s="73"/>
      <c r="M2" s="73"/>
      <c r="AC2" s="3" t="s">
        <v>5</v>
      </c>
    </row>
    <row r="3" spans="1:29" ht="17.25">
      <c r="A3" s="62" t="s">
        <v>8</v>
      </c>
      <c r="B3" s="61"/>
      <c r="C3" s="16"/>
      <c r="D3" s="3"/>
      <c r="E3" s="3"/>
      <c r="F3" s="17"/>
      <c r="G3" s="71"/>
      <c r="H3" s="71"/>
      <c r="I3" s="71"/>
      <c r="J3" s="71"/>
      <c r="K3" s="73"/>
      <c r="L3" s="73"/>
      <c r="M3" s="73"/>
      <c r="AC3" s="3"/>
    </row>
    <row r="4" spans="1:29" ht="16.5">
      <c r="A4" s="63" t="s">
        <v>9</v>
      </c>
      <c r="B4" s="65" t="s">
        <v>10</v>
      </c>
      <c r="C4" s="6"/>
      <c r="D4" s="65" t="s">
        <v>11</v>
      </c>
      <c r="E4" s="65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5" t="s">
        <v>33</v>
      </c>
      <c r="Q4" s="49" t="s">
        <v>230</v>
      </c>
      <c r="R4" s="50"/>
      <c r="S4" s="50"/>
      <c r="T4" s="6"/>
      <c r="U4" s="6"/>
      <c r="AC4" s="65" t="s">
        <v>11</v>
      </c>
    </row>
    <row r="5" spans="1:29" ht="16.5">
      <c r="A5" s="64"/>
      <c r="B5" s="66"/>
      <c r="C5" s="8"/>
      <c r="D5" s="66"/>
      <c r="E5" s="67"/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34</v>
      </c>
      <c r="N5" s="10" t="s">
        <v>35</v>
      </c>
      <c r="O5" s="10" t="s">
        <v>36</v>
      </c>
      <c r="P5" s="68"/>
      <c r="Q5" s="47" t="s">
        <v>37</v>
      </c>
      <c r="R5" s="47" t="s">
        <v>38</v>
      </c>
      <c r="S5" s="47" t="s">
        <v>39</v>
      </c>
      <c r="T5" s="1" t="s">
        <v>40</v>
      </c>
      <c r="U5" s="1" t="s">
        <v>41</v>
      </c>
      <c r="V5" s="1" t="s">
        <v>42</v>
      </c>
      <c r="W5" s="2" t="s">
        <v>43</v>
      </c>
      <c r="X5" s="2" t="s">
        <v>44</v>
      </c>
      <c r="Y5" s="2" t="s">
        <v>45</v>
      </c>
      <c r="Z5" s="1" t="s">
        <v>46</v>
      </c>
      <c r="AA5" s="1" t="s">
        <v>47</v>
      </c>
      <c r="AB5" s="1" t="s">
        <v>17</v>
      </c>
      <c r="AC5" s="66"/>
    </row>
    <row r="6" spans="1:29" ht="17.100000000000001" customHeight="1">
      <c r="A6" s="14" t="s">
        <v>231</v>
      </c>
      <c r="B6" s="14" t="s">
        <v>232</v>
      </c>
      <c r="C6" s="14">
        <v>1</v>
      </c>
      <c r="D6" s="14" t="s">
        <v>233</v>
      </c>
      <c r="E6" s="14" t="s">
        <v>50</v>
      </c>
      <c r="F6" s="7">
        <v>85</v>
      </c>
      <c r="G6" s="7">
        <v>85</v>
      </c>
      <c r="H6" s="7">
        <v>80</v>
      </c>
      <c r="I6" s="7">
        <v>80</v>
      </c>
      <c r="J6" s="26">
        <v>100</v>
      </c>
      <c r="K6" s="26">
        <v>100</v>
      </c>
      <c r="L6" s="26">
        <v>95</v>
      </c>
      <c r="M6">
        <v>90</v>
      </c>
      <c r="N6">
        <v>90</v>
      </c>
      <c r="O6" s="1">
        <v>90</v>
      </c>
      <c r="P6" s="38">
        <f t="shared" ref="P6:P34" si="0">(AVERAGE(F6:I6)+AVERAGE(J6:L6)+AVERAGE(M6:O6))/3</f>
        <v>90.277777777777771</v>
      </c>
      <c r="Q6" s="38">
        <v>12</v>
      </c>
      <c r="R6" s="38">
        <v>5</v>
      </c>
      <c r="S6" s="38">
        <v>9</v>
      </c>
      <c r="T6" s="38">
        <v>10</v>
      </c>
      <c r="U6" s="38">
        <v>0</v>
      </c>
      <c r="V6" s="38">
        <v>2</v>
      </c>
      <c r="W6" s="38">
        <v>0</v>
      </c>
      <c r="X6" s="38">
        <v>2</v>
      </c>
      <c r="Y6" s="38">
        <v>4</v>
      </c>
      <c r="Z6" s="41">
        <f t="shared" ref="Z6:Z34" si="1">SUM(Q6:Y6)</f>
        <v>44</v>
      </c>
      <c r="AA6" s="38">
        <f t="shared" ref="AA6:AA34" si="2">P6</f>
        <v>90.277777777777771</v>
      </c>
      <c r="AB6" s="42">
        <f t="shared" ref="AB6:AB34" si="3">Z6*0.7+AA6*0.3</f>
        <v>57.883333333333326</v>
      </c>
      <c r="AC6" s="38" t="s">
        <v>233</v>
      </c>
    </row>
    <row r="7" spans="1:29" ht="17.100000000000001" customHeight="1">
      <c r="A7" s="14" t="s">
        <v>231</v>
      </c>
      <c r="B7" s="14" t="s">
        <v>234</v>
      </c>
      <c r="C7" s="14">
        <v>2</v>
      </c>
      <c r="D7" s="14" t="s">
        <v>235</v>
      </c>
      <c r="E7" s="14" t="s">
        <v>50</v>
      </c>
      <c r="F7" s="7">
        <v>80</v>
      </c>
      <c r="G7" s="7">
        <v>80</v>
      </c>
      <c r="H7" s="7">
        <v>80</v>
      </c>
      <c r="I7" s="7">
        <v>75</v>
      </c>
      <c r="J7" s="26">
        <v>100</v>
      </c>
      <c r="K7" s="26">
        <v>95</v>
      </c>
      <c r="L7" s="26">
        <v>95</v>
      </c>
      <c r="M7">
        <v>90</v>
      </c>
      <c r="N7" s="1">
        <v>100</v>
      </c>
      <c r="O7" s="1">
        <v>100</v>
      </c>
      <c r="P7" s="38">
        <f t="shared" si="0"/>
        <v>90.694444444444457</v>
      </c>
      <c r="Q7" s="38">
        <v>16</v>
      </c>
      <c r="R7" s="38">
        <v>7</v>
      </c>
      <c r="S7" s="38">
        <v>9</v>
      </c>
      <c r="T7" s="38">
        <v>10</v>
      </c>
      <c r="U7" s="38">
        <v>2</v>
      </c>
      <c r="V7" s="38">
        <v>8</v>
      </c>
      <c r="W7" s="38">
        <v>4</v>
      </c>
      <c r="X7" s="38">
        <v>5</v>
      </c>
      <c r="Y7" s="38">
        <v>4</v>
      </c>
      <c r="Z7" s="41">
        <f t="shared" si="1"/>
        <v>65</v>
      </c>
      <c r="AA7" s="38">
        <f t="shared" si="2"/>
        <v>90.694444444444457</v>
      </c>
      <c r="AB7" s="42">
        <f t="shared" si="3"/>
        <v>72.708333333333343</v>
      </c>
      <c r="AC7" s="38" t="s">
        <v>235</v>
      </c>
    </row>
    <row r="8" spans="1:29" ht="17.100000000000001" customHeight="1">
      <c r="A8" s="14" t="s">
        <v>231</v>
      </c>
      <c r="B8" s="14" t="s">
        <v>236</v>
      </c>
      <c r="C8" s="14">
        <v>3</v>
      </c>
      <c r="D8" s="14" t="s">
        <v>237</v>
      </c>
      <c r="E8" s="14" t="s">
        <v>50</v>
      </c>
      <c r="F8" s="7">
        <v>85</v>
      </c>
      <c r="G8" s="7">
        <v>85</v>
      </c>
      <c r="H8" s="7">
        <v>0</v>
      </c>
      <c r="I8" s="7">
        <v>90</v>
      </c>
      <c r="J8" s="44">
        <v>0</v>
      </c>
      <c r="K8" s="26">
        <v>95</v>
      </c>
      <c r="L8" s="26">
        <v>100</v>
      </c>
      <c r="M8" s="1">
        <v>100</v>
      </c>
      <c r="N8" s="1">
        <v>100</v>
      </c>
      <c r="O8" s="1">
        <v>100</v>
      </c>
      <c r="P8" s="38">
        <f t="shared" si="0"/>
        <v>76.666666666666671</v>
      </c>
      <c r="Q8" s="38">
        <v>16</v>
      </c>
      <c r="R8" s="38">
        <v>4</v>
      </c>
      <c r="S8" s="38">
        <v>10</v>
      </c>
      <c r="T8" s="38">
        <v>10</v>
      </c>
      <c r="U8" s="38">
        <v>4</v>
      </c>
      <c r="V8" s="38">
        <v>6</v>
      </c>
      <c r="W8" s="38">
        <v>6</v>
      </c>
      <c r="X8" s="38">
        <v>5</v>
      </c>
      <c r="Y8" s="38">
        <v>2</v>
      </c>
      <c r="Z8" s="41">
        <f t="shared" si="1"/>
        <v>63</v>
      </c>
      <c r="AA8" s="38">
        <f t="shared" si="2"/>
        <v>76.666666666666671</v>
      </c>
      <c r="AB8" s="42">
        <f t="shared" si="3"/>
        <v>67.099999999999994</v>
      </c>
      <c r="AC8" s="38" t="s">
        <v>237</v>
      </c>
    </row>
    <row r="9" spans="1:29" ht="17.100000000000001" customHeight="1">
      <c r="A9" s="14" t="s">
        <v>231</v>
      </c>
      <c r="B9" s="14" t="s">
        <v>238</v>
      </c>
      <c r="C9" s="14">
        <v>4</v>
      </c>
      <c r="D9" s="14" t="s">
        <v>239</v>
      </c>
      <c r="E9" s="14" t="s">
        <v>50</v>
      </c>
      <c r="F9" s="7">
        <v>0</v>
      </c>
      <c r="G9" s="7">
        <v>90</v>
      </c>
      <c r="H9" s="7">
        <v>80</v>
      </c>
      <c r="I9" s="7">
        <v>90</v>
      </c>
      <c r="J9" s="44">
        <v>100</v>
      </c>
      <c r="K9" s="26">
        <v>95</v>
      </c>
      <c r="L9" s="26">
        <v>95</v>
      </c>
      <c r="M9">
        <v>100</v>
      </c>
      <c r="N9" s="1">
        <v>100</v>
      </c>
      <c r="O9" s="1">
        <v>100</v>
      </c>
      <c r="P9" s="38">
        <f t="shared" si="0"/>
        <v>87.222222222222229</v>
      </c>
      <c r="Q9" s="38">
        <v>20</v>
      </c>
      <c r="R9" s="38">
        <v>9</v>
      </c>
      <c r="S9" s="38">
        <v>10</v>
      </c>
      <c r="T9" s="38">
        <v>10</v>
      </c>
      <c r="U9" s="38">
        <v>6</v>
      </c>
      <c r="V9" s="38">
        <v>6</v>
      </c>
      <c r="W9" s="38">
        <v>10</v>
      </c>
      <c r="X9" s="38">
        <v>10</v>
      </c>
      <c r="Y9" s="38">
        <v>5</v>
      </c>
      <c r="Z9" s="41">
        <f t="shared" si="1"/>
        <v>86</v>
      </c>
      <c r="AA9" s="38">
        <f t="shared" si="2"/>
        <v>87.222222222222229</v>
      </c>
      <c r="AB9" s="42">
        <f t="shared" si="3"/>
        <v>86.36666666666666</v>
      </c>
      <c r="AC9" s="38" t="s">
        <v>239</v>
      </c>
    </row>
    <row r="10" spans="1:29" ht="17.100000000000001" customHeight="1">
      <c r="A10" s="14" t="s">
        <v>231</v>
      </c>
      <c r="B10" s="14" t="s">
        <v>240</v>
      </c>
      <c r="C10" s="14">
        <v>5</v>
      </c>
      <c r="D10" s="14" t="s">
        <v>241</v>
      </c>
      <c r="E10" s="14" t="s">
        <v>52</v>
      </c>
      <c r="F10" s="7">
        <v>90</v>
      </c>
      <c r="G10" s="7">
        <v>90</v>
      </c>
      <c r="H10" s="7">
        <v>80</v>
      </c>
      <c r="I10" s="7">
        <v>85</v>
      </c>
      <c r="J10" s="44">
        <v>100</v>
      </c>
      <c r="K10" s="26">
        <v>100</v>
      </c>
      <c r="L10" s="26">
        <v>95</v>
      </c>
      <c r="M10" s="1">
        <v>100</v>
      </c>
      <c r="N10" s="1">
        <v>100</v>
      </c>
      <c r="O10" s="1">
        <v>100</v>
      </c>
      <c r="P10" s="38">
        <f t="shared" si="0"/>
        <v>94.8611111111111</v>
      </c>
      <c r="Q10" s="38">
        <v>12</v>
      </c>
      <c r="R10" s="38">
        <v>9</v>
      </c>
      <c r="S10" s="38">
        <v>9</v>
      </c>
      <c r="T10" s="38">
        <v>4</v>
      </c>
      <c r="U10" s="38">
        <v>8</v>
      </c>
      <c r="V10" s="38">
        <v>6</v>
      </c>
      <c r="W10" s="38">
        <v>6</v>
      </c>
      <c r="X10" s="38">
        <v>3</v>
      </c>
      <c r="Y10" s="38">
        <v>6</v>
      </c>
      <c r="Z10" s="41">
        <f t="shared" si="1"/>
        <v>63</v>
      </c>
      <c r="AA10" s="38">
        <f t="shared" si="2"/>
        <v>94.8611111111111</v>
      </c>
      <c r="AB10" s="42">
        <f t="shared" si="3"/>
        <v>72.558333333333323</v>
      </c>
      <c r="AC10" s="38" t="s">
        <v>241</v>
      </c>
    </row>
    <row r="11" spans="1:29" ht="17.100000000000001" customHeight="1">
      <c r="A11" s="14" t="s">
        <v>231</v>
      </c>
      <c r="B11" s="14" t="s">
        <v>242</v>
      </c>
      <c r="C11" s="14">
        <v>6</v>
      </c>
      <c r="D11" s="14" t="s">
        <v>243</v>
      </c>
      <c r="E11" s="14" t="s">
        <v>50</v>
      </c>
      <c r="F11" s="7">
        <v>90</v>
      </c>
      <c r="G11" s="7">
        <v>0</v>
      </c>
      <c r="H11" s="7">
        <v>95</v>
      </c>
      <c r="I11" s="7">
        <v>100</v>
      </c>
      <c r="J11" s="44">
        <v>100</v>
      </c>
      <c r="K11" s="26">
        <v>95</v>
      </c>
      <c r="L11" s="26">
        <v>95</v>
      </c>
      <c r="M11">
        <v>90</v>
      </c>
      <c r="N11">
        <v>100</v>
      </c>
      <c r="O11" s="1">
        <v>100</v>
      </c>
      <c r="P11" s="38">
        <f t="shared" si="0"/>
        <v>88.194444444444457</v>
      </c>
      <c r="Q11" s="38">
        <v>16</v>
      </c>
      <c r="R11" s="38">
        <v>6</v>
      </c>
      <c r="S11" s="38">
        <v>9</v>
      </c>
      <c r="T11" s="38">
        <v>10</v>
      </c>
      <c r="U11" s="38">
        <v>4</v>
      </c>
      <c r="V11" s="38">
        <v>8</v>
      </c>
      <c r="W11" s="38">
        <v>6</v>
      </c>
      <c r="X11" s="38">
        <v>8</v>
      </c>
      <c r="Y11" s="38">
        <v>4</v>
      </c>
      <c r="Z11" s="41">
        <f t="shared" si="1"/>
        <v>71</v>
      </c>
      <c r="AA11" s="38">
        <f t="shared" si="2"/>
        <v>88.194444444444457</v>
      </c>
      <c r="AB11" s="42">
        <f t="shared" si="3"/>
        <v>76.158333333333331</v>
      </c>
      <c r="AC11" s="38" t="s">
        <v>243</v>
      </c>
    </row>
    <row r="12" spans="1:29" ht="17.100000000000001" customHeight="1">
      <c r="A12" s="14" t="s">
        <v>231</v>
      </c>
      <c r="B12" s="14" t="s">
        <v>244</v>
      </c>
      <c r="C12" s="14">
        <v>7</v>
      </c>
      <c r="D12" s="14" t="s">
        <v>245</v>
      </c>
      <c r="E12" s="14" t="s">
        <v>52</v>
      </c>
      <c r="F12" s="7">
        <v>90</v>
      </c>
      <c r="G12" s="7">
        <v>95</v>
      </c>
      <c r="H12" s="7">
        <v>90</v>
      </c>
      <c r="I12" s="7">
        <v>90</v>
      </c>
      <c r="J12" s="44">
        <v>100</v>
      </c>
      <c r="K12" s="26">
        <v>95</v>
      </c>
      <c r="L12" s="26">
        <v>100</v>
      </c>
      <c r="M12">
        <v>90</v>
      </c>
      <c r="N12" s="1">
        <v>100</v>
      </c>
      <c r="O12" s="1">
        <v>100</v>
      </c>
      <c r="P12" s="38">
        <f t="shared" si="0"/>
        <v>95.416666666666671</v>
      </c>
      <c r="Q12" s="38">
        <v>20</v>
      </c>
      <c r="R12" s="38">
        <v>3</v>
      </c>
      <c r="S12" s="38">
        <v>9</v>
      </c>
      <c r="T12" s="38">
        <v>10</v>
      </c>
      <c r="U12" s="38">
        <v>4</v>
      </c>
      <c r="V12" s="38">
        <v>6</v>
      </c>
      <c r="W12" s="38">
        <v>0</v>
      </c>
      <c r="X12" s="38">
        <v>6</v>
      </c>
      <c r="Y12" s="38">
        <v>3</v>
      </c>
      <c r="Z12" s="41">
        <f t="shared" si="1"/>
        <v>61</v>
      </c>
      <c r="AA12" s="38">
        <f t="shared" si="2"/>
        <v>95.416666666666671</v>
      </c>
      <c r="AB12" s="42">
        <f t="shared" si="3"/>
        <v>71.324999999999989</v>
      </c>
      <c r="AC12" s="38" t="s">
        <v>245</v>
      </c>
    </row>
    <row r="13" spans="1:29" ht="17.100000000000001" customHeight="1">
      <c r="A13" s="14" t="s">
        <v>231</v>
      </c>
      <c r="B13" s="14" t="s">
        <v>246</v>
      </c>
      <c r="C13" s="14">
        <v>8</v>
      </c>
      <c r="D13" s="14" t="s">
        <v>247</v>
      </c>
      <c r="E13" s="14" t="s">
        <v>50</v>
      </c>
      <c r="F13" s="7">
        <v>80</v>
      </c>
      <c r="G13" s="7">
        <v>80</v>
      </c>
      <c r="H13" s="7">
        <v>0</v>
      </c>
      <c r="I13" s="7">
        <v>80</v>
      </c>
      <c r="J13" s="44">
        <v>100</v>
      </c>
      <c r="K13" s="26">
        <v>95</v>
      </c>
      <c r="L13" s="26">
        <v>95</v>
      </c>
      <c r="M13" s="1">
        <v>100</v>
      </c>
      <c r="N13" s="1">
        <v>100</v>
      </c>
      <c r="O13" s="1">
        <v>100</v>
      </c>
      <c r="P13" s="38">
        <f t="shared" si="0"/>
        <v>85.555555555555557</v>
      </c>
      <c r="Q13" s="38">
        <v>12</v>
      </c>
      <c r="R13" s="38">
        <v>8</v>
      </c>
      <c r="S13" s="38">
        <v>9</v>
      </c>
      <c r="T13" s="38">
        <v>6</v>
      </c>
      <c r="U13" s="38">
        <v>4</v>
      </c>
      <c r="V13" s="38">
        <v>6</v>
      </c>
      <c r="W13" s="38">
        <v>6</v>
      </c>
      <c r="X13" s="38">
        <v>1</v>
      </c>
      <c r="Y13" s="38">
        <v>4</v>
      </c>
      <c r="Z13" s="41">
        <f t="shared" si="1"/>
        <v>56</v>
      </c>
      <c r="AA13" s="38">
        <f t="shared" si="2"/>
        <v>85.555555555555557</v>
      </c>
      <c r="AB13" s="42">
        <f t="shared" si="3"/>
        <v>64.86666666666666</v>
      </c>
      <c r="AC13" s="38" t="s">
        <v>247</v>
      </c>
    </row>
    <row r="14" spans="1:29" ht="17.100000000000001" customHeight="1">
      <c r="A14" s="14" t="s">
        <v>231</v>
      </c>
      <c r="B14" s="14" t="s">
        <v>248</v>
      </c>
      <c r="C14" s="14">
        <v>9</v>
      </c>
      <c r="D14" s="14" t="s">
        <v>249</v>
      </c>
      <c r="E14" s="14" t="s">
        <v>50</v>
      </c>
      <c r="F14" s="7">
        <v>80</v>
      </c>
      <c r="G14" s="7">
        <v>85</v>
      </c>
      <c r="H14" s="7">
        <v>80</v>
      </c>
      <c r="I14" s="7">
        <v>80</v>
      </c>
      <c r="J14" s="44">
        <v>100</v>
      </c>
      <c r="K14" s="26">
        <v>100</v>
      </c>
      <c r="L14" s="26">
        <v>95</v>
      </c>
      <c r="M14">
        <v>100</v>
      </c>
      <c r="N14" s="1">
        <v>100</v>
      </c>
      <c r="O14" s="1">
        <v>100</v>
      </c>
      <c r="P14" s="38">
        <f t="shared" si="0"/>
        <v>93.194444444444443</v>
      </c>
      <c r="Q14" s="38">
        <v>16</v>
      </c>
      <c r="R14" s="38">
        <v>8</v>
      </c>
      <c r="S14" s="38">
        <v>10</v>
      </c>
      <c r="T14" s="38">
        <v>10</v>
      </c>
      <c r="U14" s="38">
        <v>4</v>
      </c>
      <c r="V14" s="38">
        <v>8</v>
      </c>
      <c r="W14" s="38">
        <v>6</v>
      </c>
      <c r="X14" s="38">
        <v>10</v>
      </c>
      <c r="Y14" s="38">
        <v>4</v>
      </c>
      <c r="Z14" s="41">
        <f t="shared" si="1"/>
        <v>76</v>
      </c>
      <c r="AA14" s="38">
        <f t="shared" si="2"/>
        <v>93.194444444444443</v>
      </c>
      <c r="AB14" s="42">
        <f t="shared" si="3"/>
        <v>81.158333333333331</v>
      </c>
      <c r="AC14" s="38" t="s">
        <v>249</v>
      </c>
    </row>
    <row r="15" spans="1:29" ht="17.100000000000001" customHeight="1">
      <c r="A15" s="14" t="s">
        <v>231</v>
      </c>
      <c r="B15" s="14" t="s">
        <v>250</v>
      </c>
      <c r="C15" s="14">
        <v>10</v>
      </c>
      <c r="D15" s="14" t="s">
        <v>251</v>
      </c>
      <c r="E15" s="14" t="s">
        <v>50</v>
      </c>
      <c r="F15" s="7">
        <v>95</v>
      </c>
      <c r="G15" s="7">
        <v>100</v>
      </c>
      <c r="H15" s="7">
        <v>90</v>
      </c>
      <c r="I15" s="7">
        <v>90</v>
      </c>
      <c r="J15" s="44">
        <v>100</v>
      </c>
      <c r="K15" s="26">
        <v>95</v>
      </c>
      <c r="L15" s="26">
        <v>95</v>
      </c>
      <c r="M15" s="1">
        <v>100</v>
      </c>
      <c r="N15" s="1">
        <v>100</v>
      </c>
      <c r="O15" s="1">
        <v>100</v>
      </c>
      <c r="P15" s="38">
        <f t="shared" si="0"/>
        <v>96.805555555555557</v>
      </c>
      <c r="Q15" s="38">
        <v>16</v>
      </c>
      <c r="R15" s="38">
        <v>8</v>
      </c>
      <c r="S15" s="38">
        <v>10</v>
      </c>
      <c r="T15" s="38">
        <v>10</v>
      </c>
      <c r="U15" s="38">
        <v>8</v>
      </c>
      <c r="V15" s="38">
        <v>8</v>
      </c>
      <c r="W15" s="38">
        <v>4</v>
      </c>
      <c r="X15" s="38">
        <v>4</v>
      </c>
      <c r="Y15" s="38">
        <v>4</v>
      </c>
      <c r="Z15" s="41">
        <f t="shared" si="1"/>
        <v>72</v>
      </c>
      <c r="AA15" s="38">
        <f t="shared" si="2"/>
        <v>96.805555555555557</v>
      </c>
      <c r="AB15" s="42">
        <f t="shared" si="3"/>
        <v>79.441666666666663</v>
      </c>
      <c r="AC15" s="38" t="s">
        <v>251</v>
      </c>
    </row>
    <row r="16" spans="1:29" ht="17.100000000000001" customHeight="1">
      <c r="A16" s="7" t="s">
        <v>231</v>
      </c>
      <c r="B16" s="7" t="s">
        <v>252</v>
      </c>
      <c r="C16" s="14">
        <v>12</v>
      </c>
      <c r="D16" s="7" t="s">
        <v>253</v>
      </c>
      <c r="E16" s="7" t="s">
        <v>50</v>
      </c>
      <c r="F16" s="7">
        <v>80</v>
      </c>
      <c r="G16" s="7">
        <v>85</v>
      </c>
      <c r="H16" s="7">
        <v>80</v>
      </c>
      <c r="I16" s="7">
        <v>80</v>
      </c>
      <c r="J16" s="44">
        <v>100</v>
      </c>
      <c r="K16" s="26">
        <v>95</v>
      </c>
      <c r="L16" s="26">
        <v>95</v>
      </c>
      <c r="M16">
        <v>90</v>
      </c>
      <c r="N16">
        <v>100</v>
      </c>
      <c r="O16" s="1">
        <v>100</v>
      </c>
      <c r="P16" s="38">
        <f t="shared" si="0"/>
        <v>91.527777777777786</v>
      </c>
      <c r="Q16" s="38">
        <v>16</v>
      </c>
      <c r="R16" s="38">
        <v>8</v>
      </c>
      <c r="S16" s="38">
        <v>8</v>
      </c>
      <c r="T16" s="38">
        <v>10</v>
      </c>
      <c r="U16" s="38">
        <v>0</v>
      </c>
      <c r="V16" s="38">
        <v>8</v>
      </c>
      <c r="W16" s="38">
        <v>8</v>
      </c>
      <c r="X16" s="38">
        <v>5</v>
      </c>
      <c r="Y16" s="38">
        <v>2</v>
      </c>
      <c r="Z16" s="41">
        <f t="shared" si="1"/>
        <v>65</v>
      </c>
      <c r="AA16" s="38">
        <f t="shared" si="2"/>
        <v>91.527777777777786</v>
      </c>
      <c r="AB16" s="42">
        <f t="shared" si="3"/>
        <v>72.958333333333343</v>
      </c>
      <c r="AC16" s="38" t="s">
        <v>253</v>
      </c>
    </row>
    <row r="17" spans="1:29" ht="17.100000000000001" customHeight="1">
      <c r="A17" s="7" t="s">
        <v>231</v>
      </c>
      <c r="B17" s="7" t="s">
        <v>254</v>
      </c>
      <c r="C17" s="14">
        <v>13</v>
      </c>
      <c r="D17" s="7" t="s">
        <v>255</v>
      </c>
      <c r="E17" s="7" t="s">
        <v>50</v>
      </c>
      <c r="F17" s="7">
        <v>80</v>
      </c>
      <c r="G17" s="7">
        <v>80</v>
      </c>
      <c r="H17" s="7">
        <v>80</v>
      </c>
      <c r="I17" s="7">
        <v>80</v>
      </c>
      <c r="J17" s="44">
        <v>100</v>
      </c>
      <c r="K17" s="26">
        <v>100</v>
      </c>
      <c r="L17" s="26">
        <v>95</v>
      </c>
      <c r="M17">
        <v>90</v>
      </c>
      <c r="N17" s="1">
        <v>100</v>
      </c>
      <c r="O17" s="1">
        <v>100</v>
      </c>
      <c r="P17" s="38">
        <f t="shared" si="0"/>
        <v>91.666666666666671</v>
      </c>
      <c r="Q17" s="38">
        <v>16</v>
      </c>
      <c r="R17" s="38">
        <v>4</v>
      </c>
      <c r="S17" s="38">
        <v>9</v>
      </c>
      <c r="T17" s="38">
        <v>10</v>
      </c>
      <c r="U17" s="38">
        <v>2</v>
      </c>
      <c r="V17" s="38">
        <v>0</v>
      </c>
      <c r="W17" s="38">
        <v>0</v>
      </c>
      <c r="X17" s="38">
        <v>1</v>
      </c>
      <c r="Y17" s="38">
        <v>4</v>
      </c>
      <c r="Z17" s="41">
        <f t="shared" si="1"/>
        <v>46</v>
      </c>
      <c r="AA17" s="38">
        <f t="shared" si="2"/>
        <v>91.666666666666671</v>
      </c>
      <c r="AB17" s="42">
        <f t="shared" si="3"/>
        <v>59.699999999999996</v>
      </c>
      <c r="AC17" s="38" t="s">
        <v>255</v>
      </c>
    </row>
    <row r="18" spans="1:29" ht="17.100000000000001" customHeight="1">
      <c r="A18" s="14" t="s">
        <v>231</v>
      </c>
      <c r="B18" s="14" t="s">
        <v>256</v>
      </c>
      <c r="C18" s="14">
        <v>14</v>
      </c>
      <c r="D18" s="14" t="s">
        <v>257</v>
      </c>
      <c r="E18" s="14" t="s">
        <v>50</v>
      </c>
      <c r="F18" s="7">
        <v>90</v>
      </c>
      <c r="G18" s="7">
        <v>100</v>
      </c>
      <c r="H18" s="7">
        <v>90</v>
      </c>
      <c r="I18" s="7">
        <v>90</v>
      </c>
      <c r="J18" s="44">
        <v>100</v>
      </c>
      <c r="K18" s="26">
        <v>95</v>
      </c>
      <c r="L18" s="26">
        <v>95</v>
      </c>
      <c r="M18" s="1">
        <v>100</v>
      </c>
      <c r="N18" s="1">
        <v>100</v>
      </c>
      <c r="O18" s="1">
        <v>100</v>
      </c>
      <c r="P18" s="38">
        <f t="shared" si="0"/>
        <v>96.3888888888889</v>
      </c>
      <c r="Q18" s="38">
        <v>16</v>
      </c>
      <c r="R18" s="38">
        <v>6</v>
      </c>
      <c r="S18" s="38">
        <v>10</v>
      </c>
      <c r="T18" s="38">
        <v>10</v>
      </c>
      <c r="U18" s="38">
        <v>0</v>
      </c>
      <c r="V18" s="38">
        <v>4</v>
      </c>
      <c r="W18" s="38">
        <v>8</v>
      </c>
      <c r="X18" s="38">
        <v>10</v>
      </c>
      <c r="Y18" s="38">
        <v>6</v>
      </c>
      <c r="Z18" s="41">
        <f t="shared" si="1"/>
        <v>70</v>
      </c>
      <c r="AA18" s="38">
        <f t="shared" si="2"/>
        <v>96.3888888888889</v>
      </c>
      <c r="AB18" s="42">
        <f t="shared" si="3"/>
        <v>77.916666666666671</v>
      </c>
      <c r="AC18" s="38" t="s">
        <v>257</v>
      </c>
    </row>
    <row r="19" spans="1:29" ht="17.100000000000001" customHeight="1">
      <c r="A19" s="14" t="s">
        <v>231</v>
      </c>
      <c r="B19" s="14" t="s">
        <v>258</v>
      </c>
      <c r="C19" s="14">
        <v>15</v>
      </c>
      <c r="D19" s="14" t="s">
        <v>259</v>
      </c>
      <c r="E19" s="14" t="s">
        <v>50</v>
      </c>
      <c r="F19" s="7">
        <v>85</v>
      </c>
      <c r="G19" s="7">
        <v>80</v>
      </c>
      <c r="H19" s="7">
        <v>80</v>
      </c>
      <c r="I19" s="7">
        <v>80</v>
      </c>
      <c r="J19" s="44">
        <v>0</v>
      </c>
      <c r="K19" s="26">
        <v>95</v>
      </c>
      <c r="L19" s="26">
        <v>100</v>
      </c>
      <c r="M19">
        <v>100</v>
      </c>
      <c r="N19" s="1">
        <v>100</v>
      </c>
      <c r="O19" s="1">
        <v>100</v>
      </c>
      <c r="P19" s="38">
        <f t="shared" si="0"/>
        <v>82.083333333333329</v>
      </c>
      <c r="Q19" s="38">
        <v>20</v>
      </c>
      <c r="R19" s="38">
        <v>9</v>
      </c>
      <c r="S19" s="38">
        <v>10</v>
      </c>
      <c r="T19" s="38">
        <v>6</v>
      </c>
      <c r="U19" s="38">
        <v>4</v>
      </c>
      <c r="V19" s="38">
        <v>6</v>
      </c>
      <c r="W19" s="38">
        <v>6</v>
      </c>
      <c r="X19" s="38">
        <v>5</v>
      </c>
      <c r="Y19" s="38">
        <v>5</v>
      </c>
      <c r="Z19" s="41">
        <f t="shared" si="1"/>
        <v>71</v>
      </c>
      <c r="AA19" s="38">
        <f t="shared" si="2"/>
        <v>82.083333333333329</v>
      </c>
      <c r="AB19" s="42">
        <f t="shared" si="3"/>
        <v>74.324999999999989</v>
      </c>
      <c r="AC19" s="38" t="s">
        <v>259</v>
      </c>
    </row>
    <row r="20" spans="1:29" ht="17.100000000000001" customHeight="1">
      <c r="A20" s="14" t="s">
        <v>231</v>
      </c>
      <c r="B20" s="14" t="s">
        <v>260</v>
      </c>
      <c r="C20" s="14">
        <v>16</v>
      </c>
      <c r="D20" s="14" t="s">
        <v>261</v>
      </c>
      <c r="E20" s="14" t="s">
        <v>50</v>
      </c>
      <c r="F20" s="7">
        <v>80</v>
      </c>
      <c r="G20" s="7">
        <v>80</v>
      </c>
      <c r="H20" s="7">
        <v>80</v>
      </c>
      <c r="I20" s="7">
        <v>85</v>
      </c>
      <c r="J20" s="44">
        <v>0</v>
      </c>
      <c r="K20" s="26">
        <v>95</v>
      </c>
      <c r="L20" s="26">
        <v>95</v>
      </c>
      <c r="M20" s="1">
        <v>100</v>
      </c>
      <c r="N20" s="1">
        <v>100</v>
      </c>
      <c r="O20" s="1">
        <v>100</v>
      </c>
      <c r="P20" s="38">
        <f t="shared" si="0"/>
        <v>81.527777777777786</v>
      </c>
      <c r="Q20" s="38">
        <v>16</v>
      </c>
      <c r="R20" s="38">
        <v>4</v>
      </c>
      <c r="S20" s="38">
        <v>9</v>
      </c>
      <c r="T20" s="38">
        <v>10</v>
      </c>
      <c r="U20" s="38">
        <v>6</v>
      </c>
      <c r="V20" s="38">
        <v>4</v>
      </c>
      <c r="W20" s="38">
        <v>0</v>
      </c>
      <c r="X20" s="38">
        <v>3</v>
      </c>
      <c r="Y20" s="38">
        <v>3</v>
      </c>
      <c r="Z20" s="41">
        <f t="shared" si="1"/>
        <v>55</v>
      </c>
      <c r="AA20" s="38">
        <f t="shared" si="2"/>
        <v>81.527777777777786</v>
      </c>
      <c r="AB20" s="42">
        <f t="shared" si="3"/>
        <v>62.958333333333336</v>
      </c>
      <c r="AC20" s="38" t="s">
        <v>261</v>
      </c>
    </row>
    <row r="21" spans="1:29" ht="17.100000000000001" customHeight="1">
      <c r="A21" s="14" t="s">
        <v>231</v>
      </c>
      <c r="B21" s="14" t="s">
        <v>262</v>
      </c>
      <c r="C21" s="14">
        <v>17</v>
      </c>
      <c r="D21" s="14" t="s">
        <v>263</v>
      </c>
      <c r="E21" s="14" t="s">
        <v>50</v>
      </c>
      <c r="F21" s="7">
        <v>80</v>
      </c>
      <c r="G21" s="7">
        <v>80</v>
      </c>
      <c r="H21" s="7">
        <v>85</v>
      </c>
      <c r="I21" s="7">
        <v>80</v>
      </c>
      <c r="J21" s="44">
        <v>100</v>
      </c>
      <c r="K21" s="26">
        <v>100</v>
      </c>
      <c r="L21" s="26">
        <v>95</v>
      </c>
      <c r="M21">
        <v>90</v>
      </c>
      <c r="N21">
        <v>100</v>
      </c>
      <c r="O21" s="1">
        <v>100</v>
      </c>
      <c r="P21" s="38">
        <f t="shared" si="0"/>
        <v>92.083333333333329</v>
      </c>
      <c r="Q21" s="38">
        <v>12</v>
      </c>
      <c r="R21" s="38">
        <v>3</v>
      </c>
      <c r="S21" s="38">
        <v>10</v>
      </c>
      <c r="T21" s="38">
        <v>6</v>
      </c>
      <c r="U21" s="38">
        <v>2</v>
      </c>
      <c r="V21" s="38">
        <v>4</v>
      </c>
      <c r="W21" s="38">
        <v>0</v>
      </c>
      <c r="X21" s="38">
        <v>9</v>
      </c>
      <c r="Y21" s="38">
        <v>2</v>
      </c>
      <c r="Z21" s="41">
        <f t="shared" si="1"/>
        <v>48</v>
      </c>
      <c r="AA21" s="38">
        <f t="shared" si="2"/>
        <v>92.083333333333329</v>
      </c>
      <c r="AB21" s="42">
        <f t="shared" si="3"/>
        <v>61.224999999999994</v>
      </c>
      <c r="AC21" s="38" t="s">
        <v>263</v>
      </c>
    </row>
    <row r="22" spans="1:29" ht="17.100000000000001" customHeight="1">
      <c r="A22" s="14" t="s">
        <v>231</v>
      </c>
      <c r="B22" s="14" t="s">
        <v>264</v>
      </c>
      <c r="C22" s="14">
        <v>18</v>
      </c>
      <c r="D22" s="14" t="s">
        <v>265</v>
      </c>
      <c r="E22" s="14" t="s">
        <v>50</v>
      </c>
      <c r="F22" s="7">
        <v>95</v>
      </c>
      <c r="G22" s="7">
        <v>85</v>
      </c>
      <c r="H22" s="7">
        <v>80</v>
      </c>
      <c r="I22" s="7">
        <v>90</v>
      </c>
      <c r="J22" s="44">
        <v>0</v>
      </c>
      <c r="K22" s="26">
        <v>100</v>
      </c>
      <c r="L22" s="26">
        <v>95</v>
      </c>
      <c r="M22">
        <v>90</v>
      </c>
      <c r="N22" s="1">
        <v>100</v>
      </c>
      <c r="O22" s="1">
        <v>100</v>
      </c>
      <c r="P22" s="38">
        <f t="shared" si="0"/>
        <v>83.055555555555557</v>
      </c>
      <c r="Q22" s="38">
        <v>16</v>
      </c>
      <c r="R22" s="38">
        <v>7</v>
      </c>
      <c r="S22" s="38">
        <v>10</v>
      </c>
      <c r="T22" s="38">
        <v>10</v>
      </c>
      <c r="U22" s="38">
        <v>6</v>
      </c>
      <c r="V22" s="38">
        <v>8</v>
      </c>
      <c r="W22" s="38">
        <v>2</v>
      </c>
      <c r="X22" s="38">
        <v>1</v>
      </c>
      <c r="Y22" s="38">
        <v>5</v>
      </c>
      <c r="Z22" s="41">
        <f t="shared" si="1"/>
        <v>65</v>
      </c>
      <c r="AA22" s="38">
        <f t="shared" si="2"/>
        <v>83.055555555555557</v>
      </c>
      <c r="AB22" s="42">
        <f t="shared" si="3"/>
        <v>70.416666666666671</v>
      </c>
      <c r="AC22" s="38" t="s">
        <v>265</v>
      </c>
    </row>
    <row r="23" spans="1:29" ht="17.100000000000001" customHeight="1">
      <c r="A23" s="14" t="s">
        <v>231</v>
      </c>
      <c r="B23" s="14" t="s">
        <v>266</v>
      </c>
      <c r="C23" s="14">
        <v>19</v>
      </c>
      <c r="D23" s="14" t="s">
        <v>267</v>
      </c>
      <c r="E23" s="14" t="s">
        <v>52</v>
      </c>
      <c r="F23" s="7">
        <v>80</v>
      </c>
      <c r="G23" s="7">
        <v>90</v>
      </c>
      <c r="H23" s="7">
        <v>85</v>
      </c>
      <c r="I23" s="7">
        <v>90</v>
      </c>
      <c r="J23" s="44">
        <v>100</v>
      </c>
      <c r="K23" s="26">
        <v>95</v>
      </c>
      <c r="L23" s="26">
        <v>100</v>
      </c>
      <c r="M23" s="1">
        <v>100</v>
      </c>
      <c r="N23" s="1">
        <v>100</v>
      </c>
      <c r="O23" s="1">
        <v>100</v>
      </c>
      <c r="P23" s="38">
        <f t="shared" si="0"/>
        <v>94.8611111111111</v>
      </c>
      <c r="Q23" s="38">
        <v>12</v>
      </c>
      <c r="R23" s="38">
        <v>4</v>
      </c>
      <c r="S23" s="38">
        <v>9</v>
      </c>
      <c r="T23" s="38">
        <v>10</v>
      </c>
      <c r="U23" s="38">
        <v>0</v>
      </c>
      <c r="V23" s="38">
        <v>6</v>
      </c>
      <c r="W23" s="38">
        <v>6</v>
      </c>
      <c r="X23" s="38">
        <v>10</v>
      </c>
      <c r="Y23" s="38">
        <v>4</v>
      </c>
      <c r="Z23" s="41">
        <f t="shared" si="1"/>
        <v>61</v>
      </c>
      <c r="AA23" s="38">
        <f t="shared" si="2"/>
        <v>94.8611111111111</v>
      </c>
      <c r="AB23" s="42">
        <f t="shared" si="3"/>
        <v>71.158333333333331</v>
      </c>
      <c r="AC23" s="38" t="s">
        <v>267</v>
      </c>
    </row>
    <row r="24" spans="1:29" ht="17.100000000000001" customHeight="1">
      <c r="A24" s="14" t="s">
        <v>231</v>
      </c>
      <c r="B24" s="14" t="s">
        <v>268</v>
      </c>
      <c r="C24" s="14">
        <v>20</v>
      </c>
      <c r="D24" s="14" t="s">
        <v>269</v>
      </c>
      <c r="E24" s="14" t="s">
        <v>50</v>
      </c>
      <c r="F24" s="7">
        <v>85</v>
      </c>
      <c r="G24" s="7">
        <v>85</v>
      </c>
      <c r="H24" s="7">
        <v>80</v>
      </c>
      <c r="I24" s="7">
        <v>80</v>
      </c>
      <c r="J24" s="44">
        <v>100</v>
      </c>
      <c r="K24" s="26">
        <v>95</v>
      </c>
      <c r="L24" s="26">
        <v>95</v>
      </c>
      <c r="M24">
        <v>100</v>
      </c>
      <c r="N24" s="1">
        <v>100</v>
      </c>
      <c r="O24" s="1">
        <v>100</v>
      </c>
      <c r="P24" s="38">
        <f t="shared" si="0"/>
        <v>93.055555555555557</v>
      </c>
      <c r="Q24" s="38">
        <v>16</v>
      </c>
      <c r="R24" s="38">
        <v>9</v>
      </c>
      <c r="S24" s="38">
        <v>10</v>
      </c>
      <c r="T24" s="38">
        <v>10</v>
      </c>
      <c r="U24" s="38">
        <v>0</v>
      </c>
      <c r="V24" s="38">
        <v>0</v>
      </c>
      <c r="W24" s="38">
        <v>0</v>
      </c>
      <c r="X24" s="38">
        <v>5</v>
      </c>
      <c r="Y24" s="38">
        <v>5</v>
      </c>
      <c r="Z24" s="41">
        <f t="shared" si="1"/>
        <v>55</v>
      </c>
      <c r="AA24" s="38">
        <f t="shared" si="2"/>
        <v>93.055555555555557</v>
      </c>
      <c r="AB24" s="42">
        <f t="shared" si="3"/>
        <v>66.416666666666671</v>
      </c>
      <c r="AC24" s="38" t="s">
        <v>269</v>
      </c>
    </row>
    <row r="25" spans="1:29" ht="17.100000000000001" customHeight="1">
      <c r="A25" s="14" t="s">
        <v>231</v>
      </c>
      <c r="B25" s="14" t="s">
        <v>270</v>
      </c>
      <c r="C25" s="14">
        <v>21</v>
      </c>
      <c r="D25" s="14" t="s">
        <v>271</v>
      </c>
      <c r="E25" s="14" t="s">
        <v>50</v>
      </c>
      <c r="F25" s="7">
        <v>90</v>
      </c>
      <c r="G25" s="7">
        <v>90</v>
      </c>
      <c r="H25" s="7">
        <v>85</v>
      </c>
      <c r="I25" s="7">
        <v>80</v>
      </c>
      <c r="J25" s="44">
        <v>100</v>
      </c>
      <c r="K25" s="26">
        <v>100</v>
      </c>
      <c r="L25" s="26">
        <v>95</v>
      </c>
      <c r="M25" s="1">
        <v>100</v>
      </c>
      <c r="N25" s="1">
        <v>100</v>
      </c>
      <c r="O25" s="1">
        <v>100</v>
      </c>
      <c r="P25" s="38">
        <f t="shared" si="0"/>
        <v>94.8611111111111</v>
      </c>
      <c r="Q25" s="38">
        <v>16</v>
      </c>
      <c r="R25" s="38">
        <v>4</v>
      </c>
      <c r="S25" s="38">
        <v>10</v>
      </c>
      <c r="T25" s="38">
        <v>8</v>
      </c>
      <c r="U25" s="38">
        <v>4</v>
      </c>
      <c r="V25" s="38">
        <v>6</v>
      </c>
      <c r="W25" s="38">
        <v>8</v>
      </c>
      <c r="X25" s="38">
        <v>5</v>
      </c>
      <c r="Y25" s="38">
        <v>4</v>
      </c>
      <c r="Z25" s="41">
        <f t="shared" si="1"/>
        <v>65</v>
      </c>
      <c r="AA25" s="38">
        <f t="shared" si="2"/>
        <v>94.8611111111111</v>
      </c>
      <c r="AB25" s="42">
        <f t="shared" si="3"/>
        <v>73.958333333333329</v>
      </c>
      <c r="AC25" s="38" t="s">
        <v>271</v>
      </c>
    </row>
    <row r="26" spans="1:29" ht="17.100000000000001" customHeight="1">
      <c r="A26" s="14" t="s">
        <v>231</v>
      </c>
      <c r="B26" s="14" t="s">
        <v>272</v>
      </c>
      <c r="C26" s="14">
        <v>22</v>
      </c>
      <c r="D26" s="14" t="s">
        <v>273</v>
      </c>
      <c r="E26" s="14" t="s">
        <v>50</v>
      </c>
      <c r="F26" s="7">
        <v>90</v>
      </c>
      <c r="G26" s="7">
        <v>90</v>
      </c>
      <c r="H26" s="7">
        <v>90</v>
      </c>
      <c r="I26" s="7">
        <v>85</v>
      </c>
      <c r="J26" s="44">
        <v>100</v>
      </c>
      <c r="K26" s="26">
        <v>95</v>
      </c>
      <c r="L26" s="26">
        <v>95</v>
      </c>
      <c r="M26">
        <v>90</v>
      </c>
      <c r="N26">
        <v>100</v>
      </c>
      <c r="O26" s="1">
        <v>100</v>
      </c>
      <c r="P26" s="38">
        <f t="shared" si="0"/>
        <v>94.027777777777786</v>
      </c>
      <c r="Q26" s="38">
        <v>20</v>
      </c>
      <c r="R26" s="38">
        <v>4</v>
      </c>
      <c r="S26" s="38">
        <v>10</v>
      </c>
      <c r="T26" s="38">
        <v>10</v>
      </c>
      <c r="U26" s="38">
        <v>6</v>
      </c>
      <c r="V26" s="38">
        <v>6</v>
      </c>
      <c r="W26" s="38">
        <v>0</v>
      </c>
      <c r="X26" s="38">
        <v>6</v>
      </c>
      <c r="Y26" s="38">
        <v>4</v>
      </c>
      <c r="Z26" s="41">
        <f t="shared" si="1"/>
        <v>66</v>
      </c>
      <c r="AA26" s="38">
        <f t="shared" si="2"/>
        <v>94.027777777777786</v>
      </c>
      <c r="AB26" s="42">
        <f t="shared" si="3"/>
        <v>74.408333333333331</v>
      </c>
      <c r="AC26" s="38" t="s">
        <v>273</v>
      </c>
    </row>
    <row r="27" spans="1:29" ht="17.100000000000001" customHeight="1">
      <c r="A27" s="14" t="s">
        <v>231</v>
      </c>
      <c r="B27" s="14" t="s">
        <v>274</v>
      </c>
      <c r="C27" s="14">
        <v>23</v>
      </c>
      <c r="D27" s="14" t="s">
        <v>275</v>
      </c>
      <c r="E27" s="14" t="s">
        <v>52</v>
      </c>
      <c r="F27" s="7">
        <v>80</v>
      </c>
      <c r="G27" s="7">
        <v>95</v>
      </c>
      <c r="H27" s="7">
        <v>80</v>
      </c>
      <c r="I27" s="7">
        <v>75</v>
      </c>
      <c r="J27" s="44">
        <v>100</v>
      </c>
      <c r="K27" s="26">
        <v>100</v>
      </c>
      <c r="L27" s="26">
        <v>95</v>
      </c>
      <c r="M27">
        <v>90</v>
      </c>
      <c r="N27" s="1">
        <v>100</v>
      </c>
      <c r="O27" s="1">
        <v>100</v>
      </c>
      <c r="P27" s="38">
        <f t="shared" si="0"/>
        <v>92.5</v>
      </c>
      <c r="Q27" s="38">
        <v>20</v>
      </c>
      <c r="R27" s="38">
        <v>7</v>
      </c>
      <c r="S27" s="38">
        <v>7</v>
      </c>
      <c r="T27" s="38">
        <v>10</v>
      </c>
      <c r="U27" s="38">
        <v>6</v>
      </c>
      <c r="V27" s="38">
        <v>8</v>
      </c>
      <c r="W27" s="38">
        <v>6</v>
      </c>
      <c r="X27" s="38">
        <v>9</v>
      </c>
      <c r="Y27" s="38">
        <v>4</v>
      </c>
      <c r="Z27" s="41">
        <f t="shared" si="1"/>
        <v>77</v>
      </c>
      <c r="AA27" s="38">
        <f t="shared" si="2"/>
        <v>92.5</v>
      </c>
      <c r="AB27" s="42">
        <f t="shared" si="3"/>
        <v>81.650000000000006</v>
      </c>
      <c r="AC27" s="38" t="s">
        <v>275</v>
      </c>
    </row>
    <row r="28" spans="1:29" ht="17.100000000000001" customHeight="1">
      <c r="A28" s="14" t="s">
        <v>231</v>
      </c>
      <c r="B28" s="14" t="s">
        <v>276</v>
      </c>
      <c r="C28" s="14">
        <v>24</v>
      </c>
      <c r="D28" s="14" t="s">
        <v>277</v>
      </c>
      <c r="E28" s="14" t="s">
        <v>50</v>
      </c>
      <c r="F28" s="7">
        <v>90</v>
      </c>
      <c r="G28" s="7">
        <v>85</v>
      </c>
      <c r="H28" s="7">
        <v>85</v>
      </c>
      <c r="I28" s="7">
        <v>85</v>
      </c>
      <c r="J28" s="44">
        <v>100</v>
      </c>
      <c r="K28" s="26">
        <v>100</v>
      </c>
      <c r="L28" s="26">
        <v>95</v>
      </c>
      <c r="M28" s="1">
        <v>100</v>
      </c>
      <c r="N28" s="1">
        <v>100</v>
      </c>
      <c r="O28" s="1">
        <v>100</v>
      </c>
      <c r="P28" s="38">
        <f t="shared" si="0"/>
        <v>94.8611111111111</v>
      </c>
      <c r="Q28" s="38">
        <v>20</v>
      </c>
      <c r="R28" s="38">
        <v>9</v>
      </c>
      <c r="S28" s="38">
        <v>10</v>
      </c>
      <c r="T28" s="38">
        <v>10</v>
      </c>
      <c r="U28" s="38">
        <v>6</v>
      </c>
      <c r="V28" s="38">
        <v>8</v>
      </c>
      <c r="W28" s="38">
        <v>6</v>
      </c>
      <c r="X28" s="38">
        <v>4</v>
      </c>
      <c r="Y28" s="38">
        <v>4</v>
      </c>
      <c r="Z28" s="41">
        <f t="shared" si="1"/>
        <v>77</v>
      </c>
      <c r="AA28" s="38">
        <f t="shared" si="2"/>
        <v>94.8611111111111</v>
      </c>
      <c r="AB28" s="42">
        <f t="shared" si="3"/>
        <v>82.35833333333332</v>
      </c>
      <c r="AC28" s="38" t="s">
        <v>277</v>
      </c>
    </row>
    <row r="29" spans="1:29" ht="17.100000000000001" customHeight="1">
      <c r="A29" s="14" t="s">
        <v>231</v>
      </c>
      <c r="B29" s="14" t="s">
        <v>278</v>
      </c>
      <c r="C29" s="14">
        <v>25</v>
      </c>
      <c r="D29" s="14" t="s">
        <v>279</v>
      </c>
      <c r="E29" s="14" t="s">
        <v>50</v>
      </c>
      <c r="F29" s="7">
        <v>100</v>
      </c>
      <c r="G29" s="7">
        <v>95</v>
      </c>
      <c r="H29" s="7">
        <v>95</v>
      </c>
      <c r="I29" s="7">
        <v>95</v>
      </c>
      <c r="J29" s="44">
        <v>100</v>
      </c>
      <c r="K29" s="26">
        <v>95</v>
      </c>
      <c r="L29" s="26">
        <v>100</v>
      </c>
      <c r="M29">
        <v>100</v>
      </c>
      <c r="N29" s="1">
        <v>100</v>
      </c>
      <c r="O29" s="1">
        <v>100</v>
      </c>
      <c r="P29" s="38">
        <f t="shared" si="0"/>
        <v>98.194444444444443</v>
      </c>
      <c r="Q29" s="38">
        <v>12</v>
      </c>
      <c r="R29" s="38">
        <v>9</v>
      </c>
      <c r="S29" s="38">
        <v>10</v>
      </c>
      <c r="T29" s="38">
        <v>4</v>
      </c>
      <c r="U29" s="38">
        <v>6</v>
      </c>
      <c r="V29" s="38">
        <v>8</v>
      </c>
      <c r="W29" s="38">
        <v>6</v>
      </c>
      <c r="X29" s="38">
        <v>10</v>
      </c>
      <c r="Y29" s="38">
        <v>5</v>
      </c>
      <c r="Z29" s="41">
        <f t="shared" si="1"/>
        <v>70</v>
      </c>
      <c r="AA29" s="38">
        <f t="shared" si="2"/>
        <v>98.194444444444443</v>
      </c>
      <c r="AB29" s="42">
        <f t="shared" si="3"/>
        <v>78.458333333333329</v>
      </c>
      <c r="AC29" s="38" t="s">
        <v>279</v>
      </c>
    </row>
    <row r="30" spans="1:29" ht="17.100000000000001" customHeight="1">
      <c r="A30" s="14" t="s">
        <v>231</v>
      </c>
      <c r="B30" s="14" t="s">
        <v>280</v>
      </c>
      <c r="C30" s="14">
        <v>26</v>
      </c>
      <c r="D30" s="14" t="s">
        <v>281</v>
      </c>
      <c r="E30" s="14" t="s">
        <v>50</v>
      </c>
      <c r="F30" s="7">
        <v>90</v>
      </c>
      <c r="G30" s="7">
        <v>100</v>
      </c>
      <c r="H30" s="7">
        <v>90</v>
      </c>
      <c r="I30" s="7">
        <v>90</v>
      </c>
      <c r="J30" s="44">
        <v>100</v>
      </c>
      <c r="K30" s="26">
        <v>95</v>
      </c>
      <c r="L30" s="26">
        <v>95</v>
      </c>
      <c r="M30" s="1">
        <v>100</v>
      </c>
      <c r="N30" s="1">
        <v>100</v>
      </c>
      <c r="O30" s="1">
        <v>100</v>
      </c>
      <c r="P30" s="38">
        <f t="shared" si="0"/>
        <v>96.3888888888889</v>
      </c>
      <c r="Q30" s="38">
        <v>16</v>
      </c>
      <c r="R30" s="38">
        <v>9</v>
      </c>
      <c r="S30" s="38">
        <v>10</v>
      </c>
      <c r="T30" s="38">
        <v>10</v>
      </c>
      <c r="U30" s="38">
        <v>8</v>
      </c>
      <c r="V30" s="38">
        <v>4</v>
      </c>
      <c r="W30" s="38">
        <v>6</v>
      </c>
      <c r="X30" s="38">
        <v>7</v>
      </c>
      <c r="Y30" s="38">
        <v>2</v>
      </c>
      <c r="Z30" s="41">
        <f t="shared" si="1"/>
        <v>72</v>
      </c>
      <c r="AA30" s="38">
        <f t="shared" si="2"/>
        <v>96.3888888888889</v>
      </c>
      <c r="AB30" s="42">
        <f t="shared" si="3"/>
        <v>79.316666666666663</v>
      </c>
      <c r="AC30" s="38" t="s">
        <v>281</v>
      </c>
    </row>
    <row r="31" spans="1:29" ht="17.100000000000001" customHeight="1">
      <c r="A31" s="14" t="s">
        <v>231</v>
      </c>
      <c r="B31" s="14" t="s">
        <v>282</v>
      </c>
      <c r="C31" s="14">
        <v>27</v>
      </c>
      <c r="D31" s="14" t="s">
        <v>283</v>
      </c>
      <c r="E31" s="14" t="s">
        <v>50</v>
      </c>
      <c r="F31" s="7">
        <v>85</v>
      </c>
      <c r="G31" s="7">
        <v>85</v>
      </c>
      <c r="H31" s="7">
        <v>80</v>
      </c>
      <c r="I31" s="7">
        <v>85</v>
      </c>
      <c r="J31" s="44">
        <v>100</v>
      </c>
      <c r="K31" s="26">
        <v>100</v>
      </c>
      <c r="L31" s="26">
        <v>95</v>
      </c>
      <c r="M31">
        <v>90</v>
      </c>
      <c r="N31">
        <v>100</v>
      </c>
      <c r="O31" s="1">
        <v>100</v>
      </c>
      <c r="P31" s="38">
        <f t="shared" si="0"/>
        <v>92.916666666666671</v>
      </c>
      <c r="Q31" s="38">
        <v>20</v>
      </c>
      <c r="R31" s="38">
        <v>7</v>
      </c>
      <c r="S31" s="38">
        <v>10</v>
      </c>
      <c r="T31" s="38">
        <v>10</v>
      </c>
      <c r="U31" s="38">
        <v>0</v>
      </c>
      <c r="V31" s="38">
        <v>8</v>
      </c>
      <c r="W31" s="38">
        <v>0</v>
      </c>
      <c r="X31" s="38">
        <v>1</v>
      </c>
      <c r="Y31" s="38">
        <v>6</v>
      </c>
      <c r="Z31" s="41">
        <f t="shared" si="1"/>
        <v>62</v>
      </c>
      <c r="AA31" s="38">
        <f t="shared" si="2"/>
        <v>92.916666666666671</v>
      </c>
      <c r="AB31" s="42">
        <f t="shared" si="3"/>
        <v>71.275000000000006</v>
      </c>
      <c r="AC31" s="38" t="s">
        <v>283</v>
      </c>
    </row>
    <row r="32" spans="1:29" ht="17.100000000000001" customHeight="1">
      <c r="A32" s="7" t="s">
        <v>231</v>
      </c>
      <c r="B32" s="7" t="s">
        <v>284</v>
      </c>
      <c r="C32" s="14">
        <v>28</v>
      </c>
      <c r="D32" s="7" t="s">
        <v>285</v>
      </c>
      <c r="E32" s="7" t="s">
        <v>50</v>
      </c>
      <c r="F32" s="7">
        <v>90</v>
      </c>
      <c r="G32" s="7">
        <v>90</v>
      </c>
      <c r="H32" s="7">
        <v>90</v>
      </c>
      <c r="I32" s="7">
        <v>0</v>
      </c>
      <c r="J32" s="44">
        <v>100</v>
      </c>
      <c r="K32" s="26">
        <v>95</v>
      </c>
      <c r="L32" s="26">
        <v>95</v>
      </c>
      <c r="M32">
        <v>90</v>
      </c>
      <c r="N32" s="1">
        <v>100</v>
      </c>
      <c r="O32" s="1">
        <v>100</v>
      </c>
      <c r="P32" s="38">
        <f t="shared" si="0"/>
        <v>86.944444444444457</v>
      </c>
      <c r="Q32" s="38">
        <v>16</v>
      </c>
      <c r="R32" s="38">
        <v>8</v>
      </c>
      <c r="S32" s="38">
        <v>10</v>
      </c>
      <c r="T32" s="38">
        <v>10</v>
      </c>
      <c r="U32" s="38">
        <v>0</v>
      </c>
      <c r="V32" s="38">
        <v>4</v>
      </c>
      <c r="W32" s="38">
        <v>6</v>
      </c>
      <c r="X32" s="38">
        <v>2</v>
      </c>
      <c r="Y32" s="38">
        <v>4</v>
      </c>
      <c r="Z32" s="41">
        <f t="shared" si="1"/>
        <v>60</v>
      </c>
      <c r="AA32" s="38">
        <f t="shared" si="2"/>
        <v>86.944444444444457</v>
      </c>
      <c r="AB32" s="42">
        <f t="shared" si="3"/>
        <v>68.083333333333343</v>
      </c>
      <c r="AC32" s="38" t="s">
        <v>285</v>
      </c>
    </row>
    <row r="33" spans="1:29" ht="17.100000000000001" customHeight="1">
      <c r="A33" s="7" t="s">
        <v>231</v>
      </c>
      <c r="B33" s="7" t="s">
        <v>286</v>
      </c>
      <c r="C33" s="14">
        <v>29</v>
      </c>
      <c r="D33" s="7" t="s">
        <v>287</v>
      </c>
      <c r="E33" s="7" t="s">
        <v>50</v>
      </c>
      <c r="F33" s="7">
        <v>80</v>
      </c>
      <c r="G33" s="7">
        <v>85</v>
      </c>
      <c r="H33" s="7">
        <v>80</v>
      </c>
      <c r="I33" s="7">
        <v>85</v>
      </c>
      <c r="J33" s="44">
        <v>100</v>
      </c>
      <c r="K33" s="26">
        <v>95</v>
      </c>
      <c r="L33" s="26">
        <v>95</v>
      </c>
      <c r="M33" s="1">
        <v>100</v>
      </c>
      <c r="N33" s="1">
        <v>100</v>
      </c>
      <c r="O33" s="1">
        <v>100</v>
      </c>
      <c r="P33" s="38">
        <f t="shared" si="0"/>
        <v>93.055555555555557</v>
      </c>
      <c r="Q33" s="38">
        <v>16</v>
      </c>
      <c r="R33" s="38">
        <v>7</v>
      </c>
      <c r="S33" s="38">
        <v>9</v>
      </c>
      <c r="T33" s="38">
        <v>4</v>
      </c>
      <c r="U33" s="38">
        <v>6</v>
      </c>
      <c r="V33" s="38">
        <v>2</v>
      </c>
      <c r="W33" s="38">
        <v>0</v>
      </c>
      <c r="X33" s="38">
        <v>10</v>
      </c>
      <c r="Y33" s="38">
        <v>4</v>
      </c>
      <c r="Z33" s="41">
        <f t="shared" si="1"/>
        <v>58</v>
      </c>
      <c r="AA33" s="38">
        <f t="shared" si="2"/>
        <v>93.055555555555557</v>
      </c>
      <c r="AB33" s="42">
        <f t="shared" si="3"/>
        <v>68.516666666666666</v>
      </c>
      <c r="AC33" s="38" t="s">
        <v>287</v>
      </c>
    </row>
    <row r="34" spans="1:29" ht="17.100000000000001" customHeight="1">
      <c r="A34" s="7" t="s">
        <v>231</v>
      </c>
      <c r="B34" s="7" t="s">
        <v>288</v>
      </c>
      <c r="C34" s="14">
        <v>30</v>
      </c>
      <c r="D34" s="7" t="s">
        <v>289</v>
      </c>
      <c r="E34" s="7" t="s">
        <v>52</v>
      </c>
      <c r="F34" s="7">
        <v>90</v>
      </c>
      <c r="G34" s="7">
        <v>90</v>
      </c>
      <c r="H34" s="7">
        <v>85</v>
      </c>
      <c r="I34" s="7">
        <v>90</v>
      </c>
      <c r="J34" s="44">
        <v>100</v>
      </c>
      <c r="K34" s="26">
        <v>100</v>
      </c>
      <c r="L34" s="26">
        <v>95</v>
      </c>
      <c r="M34">
        <v>100</v>
      </c>
      <c r="N34" s="1">
        <v>100</v>
      </c>
      <c r="O34" s="1">
        <v>100</v>
      </c>
      <c r="P34" s="38">
        <f t="shared" si="0"/>
        <v>95.694444444444443</v>
      </c>
      <c r="Q34" s="38">
        <v>16</v>
      </c>
      <c r="R34" s="38">
        <v>7</v>
      </c>
      <c r="S34" s="38">
        <v>10</v>
      </c>
      <c r="T34" s="38">
        <v>10</v>
      </c>
      <c r="U34" s="38">
        <v>0</v>
      </c>
      <c r="V34" s="38">
        <v>2</v>
      </c>
      <c r="W34" s="38">
        <v>6</v>
      </c>
      <c r="X34" s="38">
        <v>7</v>
      </c>
      <c r="Y34" s="38">
        <v>6</v>
      </c>
      <c r="Z34" s="41">
        <f t="shared" si="1"/>
        <v>64</v>
      </c>
      <c r="AA34" s="38">
        <f t="shared" si="2"/>
        <v>95.694444444444443</v>
      </c>
      <c r="AB34" s="42">
        <f t="shared" si="3"/>
        <v>73.508333333333326</v>
      </c>
      <c r="AC34" s="38" t="s">
        <v>289</v>
      </c>
    </row>
    <row r="35" spans="1:29">
      <c r="F35" s="48">
        <f>COUNTIF(F$6:F$34,"&gt;=90")/COUNT(F$6:F$34)</f>
        <v>0.44827586206896552</v>
      </c>
      <c r="G35" s="48">
        <f>COUNTIF(G$6:G$34,"&gt;=90")/COUNT(G$6:G$34)</f>
        <v>0.44827586206896552</v>
      </c>
      <c r="H35" s="48">
        <f>COUNTIF(H$6:H$34,"&gt;=90")/COUNT(H$6:H$34)</f>
        <v>0.27586206896551724</v>
      </c>
      <c r="I35" s="48">
        <f>COUNTIF(I$6:I$34,"&gt;=90")/COUNT(I$6:I$34)</f>
        <v>0.37931034482758619</v>
      </c>
      <c r="Z35">
        <f>COUNTIF(Z$6:Z$34,"&gt;=90")</f>
        <v>0</v>
      </c>
      <c r="AA35" s="46">
        <f>Z35/29</f>
        <v>0</v>
      </c>
      <c r="AB35">
        <f>COUNTIF(AB$6:AB$34,"&gt;=90")</f>
        <v>0</v>
      </c>
      <c r="AC35" s="46">
        <f t="shared" ref="AC35:AC39" si="4">AB35/29</f>
        <v>0</v>
      </c>
    </row>
    <row r="36" spans="1:29">
      <c r="F36" s="48">
        <f>COUNTIF(F$6:F$34,"&gt;=80")/COUNT(F$6:F$34)</f>
        <v>0.96551724137931039</v>
      </c>
      <c r="G36" s="48">
        <f>COUNTIF(G$6:G$34,"&gt;=80")/COUNT(G$6:G$34)</f>
        <v>0.96551724137931039</v>
      </c>
      <c r="H36" s="48">
        <f>COUNTIF(H$6:H$34,"&gt;=80")/COUNT(H$6:H$34)</f>
        <v>0.93103448275862066</v>
      </c>
      <c r="I36" s="48">
        <f>COUNTIF(I$6:I$34,"&gt;=80")/COUNT(I$6:I$34)</f>
        <v>0.89655172413793105</v>
      </c>
      <c r="Z36">
        <f>COUNTIF(Z$6:Z$34,"&gt;=80")</f>
        <v>1</v>
      </c>
      <c r="AA36" s="46">
        <f>Z36/29</f>
        <v>3.4482758620689655E-2</v>
      </c>
      <c r="AB36">
        <f>COUNTIF(AB$6:AB$34,"&gt;=80")</f>
        <v>4</v>
      </c>
      <c r="AC36" s="46">
        <f t="shared" si="4"/>
        <v>0.13793103448275862</v>
      </c>
    </row>
    <row r="37" spans="1:29">
      <c r="F37" s="48">
        <f>COUNTIF(F$6:F$34,"&gt;=70")/COUNT(F$6:F$34)</f>
        <v>0.96551724137931039</v>
      </c>
      <c r="G37" s="48">
        <f>COUNTIF(G$6:G$34,"&gt;=70")/COUNT(G$6:G$34)</f>
        <v>0.96551724137931039</v>
      </c>
      <c r="H37" s="48">
        <f>COUNTIF(H$6:H$34,"&gt;=70")/COUNT(H$6:H$34)</f>
        <v>0.93103448275862066</v>
      </c>
      <c r="I37" s="48">
        <f>COUNTIF(I$6:I$34,"&gt;=70")/COUNT(I$6:I$34)</f>
        <v>0.96551724137931039</v>
      </c>
      <c r="Z37">
        <f>COUNTIF(Z$6:Z$34,"&gt;=70")</f>
        <v>10</v>
      </c>
      <c r="AA37" s="46">
        <f>Z37/29</f>
        <v>0.34482758620689657</v>
      </c>
      <c r="AB37">
        <f>COUNTIF(AB$6:AB$34,"&gt;=70")</f>
        <v>20</v>
      </c>
      <c r="AC37" s="46">
        <f t="shared" si="4"/>
        <v>0.68965517241379315</v>
      </c>
    </row>
    <row r="38" spans="1:29">
      <c r="F38" s="48">
        <f>COUNTIF(F$6:F$34,"&gt;=0")/COUNT(F$6:F$34)</f>
        <v>1</v>
      </c>
      <c r="G38" s="48">
        <f>COUNTIF(G$6:G$34,"&gt;=0")/COUNT(G$6:G$34)</f>
        <v>1</v>
      </c>
      <c r="H38" s="48">
        <f>COUNTIF(H$6:H$34,"&gt;=0")/COUNT(H$6:H$34)</f>
        <v>1</v>
      </c>
      <c r="I38" s="48">
        <f>COUNTIF(I$6:I$34,"&gt;=0")/COUNT(I$6:I$34)</f>
        <v>1</v>
      </c>
      <c r="Z38">
        <f>COUNTIF(Z$6:Z$34,"&gt;=60")</f>
        <v>22</v>
      </c>
      <c r="AA38" s="46">
        <f>Z38/29</f>
        <v>0.75862068965517238</v>
      </c>
      <c r="AB38">
        <f>COUNTIF(AB$6:AB$34,"&gt;=60")</f>
        <v>27</v>
      </c>
      <c r="AC38" s="46">
        <f t="shared" si="4"/>
        <v>0.93103448275862066</v>
      </c>
    </row>
    <row r="39" spans="1:29">
      <c r="Z39">
        <f>COUNTIF(Z$6:Z$34,"&gt;=30")</f>
        <v>29</v>
      </c>
      <c r="AA39" s="46">
        <f>Z39/29</f>
        <v>1</v>
      </c>
      <c r="AB39">
        <f>COUNTIF(AB$6:AB$34,"&gt;=30")</f>
        <v>29</v>
      </c>
      <c r="AC39" s="46">
        <f t="shared" si="4"/>
        <v>1</v>
      </c>
    </row>
    <row r="40" spans="1:29">
      <c r="Z40">
        <f>AVERAGE(Z6:Z34)</f>
        <v>64.275862068965523</v>
      </c>
      <c r="AA40"/>
      <c r="AB40">
        <f>AVERAGE(AB6:AB34)</f>
        <v>72.350862068965512</v>
      </c>
    </row>
    <row r="41" spans="1:29">
      <c r="Z41">
        <f>STDEV(Z6:Z34)</f>
        <v>9.5464898250768346</v>
      </c>
      <c r="AA41"/>
      <c r="AB41">
        <f>STDEV(AB6:AB34)</f>
        <v>7.0590706116974422</v>
      </c>
    </row>
  </sheetData>
  <mergeCells count="15">
    <mergeCell ref="P4:P5"/>
    <mergeCell ref="AC4:AC5"/>
    <mergeCell ref="G2:J3"/>
    <mergeCell ref="K2:M3"/>
    <mergeCell ref="A3:B3"/>
    <mergeCell ref="A4:A5"/>
    <mergeCell ref="B4:B5"/>
    <mergeCell ref="D4:D5"/>
    <mergeCell ref="E4:E5"/>
    <mergeCell ref="A1:B1"/>
    <mergeCell ref="D1:F1"/>
    <mergeCell ref="G1:J1"/>
    <mergeCell ref="K1:M1"/>
    <mergeCell ref="A2:B2"/>
    <mergeCell ref="D2:F2"/>
  </mergeCells>
  <phoneticPr fontId="18" type="noConversion"/>
  <conditionalFormatting sqref="AB6:AB34">
    <cfRule type="cellIs" dxfId="10" priority="1" operator="lessThan">
      <formula>60</formula>
    </cfRule>
  </conditionalFormatting>
  <conditionalFormatting sqref="D6:D15 D18:D31">
    <cfRule type="duplicateValues" dxfId="9" priority="2"/>
  </conditionalFormatting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08"/>
  <sheetViews>
    <sheetView topLeftCell="U123" workbookViewId="0">
      <selection activeCell="Z122" sqref="Z122"/>
    </sheetView>
  </sheetViews>
  <sheetFormatPr defaultColWidth="9" defaultRowHeight="13.5"/>
  <cols>
    <col min="1" max="1" width="9.875" customWidth="1"/>
    <col min="2" max="2" width="8.625" customWidth="1"/>
    <col min="3" max="9" width="7.125" customWidth="1"/>
    <col min="10" max="12" width="7.125" style="30" customWidth="1"/>
    <col min="13" max="15" width="7.125" customWidth="1"/>
    <col min="26" max="26" width="12.625" style="32"/>
    <col min="27" max="27" width="12.625"/>
    <col min="28" max="28" width="10" style="33" customWidth="1"/>
  </cols>
  <sheetData>
    <row r="1" spans="1:30" s="31" customFormat="1" ht="17.25">
      <c r="A1" s="85" t="s">
        <v>0</v>
      </c>
      <c r="B1" s="86"/>
      <c r="C1" s="85" t="s">
        <v>1</v>
      </c>
      <c r="D1" s="87"/>
      <c r="E1" s="87"/>
      <c r="F1" s="88" t="s">
        <v>2</v>
      </c>
      <c r="G1" s="89"/>
      <c r="H1" s="89"/>
      <c r="I1" s="89"/>
      <c r="J1" s="85" t="s">
        <v>3</v>
      </c>
      <c r="K1" s="85"/>
      <c r="L1" s="85"/>
      <c r="M1" s="85"/>
      <c r="N1" s="85"/>
      <c r="O1" s="85"/>
      <c r="P1" s="36"/>
      <c r="Q1" s="36"/>
      <c r="R1" s="36"/>
      <c r="S1" s="36"/>
      <c r="T1" s="36"/>
      <c r="U1" s="36"/>
      <c r="V1" s="36"/>
      <c r="W1" s="36"/>
      <c r="X1" s="36"/>
      <c r="Y1" s="36"/>
      <c r="Z1" s="39"/>
      <c r="AA1" s="36"/>
      <c r="AB1" s="40" t="s">
        <v>1</v>
      </c>
    </row>
    <row r="2" spans="1:30" s="31" customFormat="1" ht="17.25">
      <c r="A2" s="90" t="s">
        <v>4</v>
      </c>
      <c r="B2" s="91"/>
      <c r="C2" s="85" t="s">
        <v>290</v>
      </c>
      <c r="D2" s="87"/>
      <c r="E2" s="87"/>
      <c r="F2" s="93" t="s">
        <v>6</v>
      </c>
      <c r="G2" s="94"/>
      <c r="H2" s="94"/>
      <c r="I2" s="94"/>
      <c r="J2" s="96" t="s">
        <v>7</v>
      </c>
      <c r="K2" s="96"/>
      <c r="L2" s="96"/>
      <c r="M2" s="96"/>
      <c r="N2" s="97"/>
      <c r="O2" s="97"/>
      <c r="P2" s="36"/>
      <c r="Q2" s="36"/>
      <c r="R2" s="36"/>
      <c r="S2" s="36"/>
      <c r="T2" s="36"/>
      <c r="U2" s="36"/>
      <c r="V2" s="36"/>
      <c r="W2" s="36"/>
      <c r="X2" s="36"/>
      <c r="Y2" s="36"/>
      <c r="Z2" s="39"/>
      <c r="AA2" s="36"/>
      <c r="AB2" s="40" t="s">
        <v>5</v>
      </c>
    </row>
    <row r="3" spans="1:30" s="31" customFormat="1" ht="17.25">
      <c r="A3" s="92" t="s">
        <v>8</v>
      </c>
      <c r="B3" s="91"/>
      <c r="C3" s="34"/>
      <c r="D3" s="34"/>
      <c r="E3" s="35"/>
      <c r="F3" s="95"/>
      <c r="G3" s="95"/>
      <c r="H3" s="95"/>
      <c r="I3" s="95"/>
      <c r="J3" s="97"/>
      <c r="K3" s="97"/>
      <c r="L3" s="97"/>
      <c r="M3" s="97"/>
      <c r="N3" s="97"/>
      <c r="O3" s="97"/>
      <c r="P3" s="36"/>
      <c r="Q3" s="36"/>
      <c r="R3" s="36"/>
      <c r="S3" s="36"/>
      <c r="T3" s="36"/>
      <c r="U3" s="36"/>
      <c r="V3" s="36"/>
      <c r="W3" s="36"/>
      <c r="X3" s="36"/>
      <c r="Y3" s="36"/>
      <c r="Z3" s="39"/>
      <c r="AA3" s="36"/>
      <c r="AB3" s="40"/>
    </row>
    <row r="4" spans="1:30" ht="33">
      <c r="A4" s="63" t="s">
        <v>9</v>
      </c>
      <c r="B4" s="65" t="s">
        <v>10</v>
      </c>
      <c r="C4" s="6"/>
      <c r="D4" s="65" t="s">
        <v>11</v>
      </c>
      <c r="E4" s="65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25" t="s">
        <v>27</v>
      </c>
      <c r="K4" s="25" t="s">
        <v>28</v>
      </c>
      <c r="L4" s="25" t="s">
        <v>29</v>
      </c>
      <c r="M4" s="6" t="s">
        <v>30</v>
      </c>
      <c r="N4" s="6" t="s">
        <v>31</v>
      </c>
      <c r="O4" s="6" t="s">
        <v>32</v>
      </c>
      <c r="P4" s="65" t="s">
        <v>33</v>
      </c>
      <c r="Q4" s="38"/>
      <c r="R4" s="38"/>
      <c r="S4" s="38"/>
      <c r="T4" s="38"/>
      <c r="U4" s="38"/>
      <c r="V4" s="38"/>
      <c r="W4" s="38"/>
      <c r="X4" s="38"/>
      <c r="Y4" s="38"/>
      <c r="Z4" s="41"/>
      <c r="AA4" s="38"/>
      <c r="AB4" s="42"/>
      <c r="AC4" s="38" t="s">
        <v>11</v>
      </c>
    </row>
    <row r="5" spans="1:30" ht="17.25">
      <c r="A5" s="64"/>
      <c r="B5" s="66"/>
      <c r="C5" s="8"/>
      <c r="D5" s="66"/>
      <c r="E5" s="67"/>
      <c r="F5" s="10" t="s">
        <v>18</v>
      </c>
      <c r="G5" s="10" t="s">
        <v>19</v>
      </c>
      <c r="H5" s="10" t="s">
        <v>20</v>
      </c>
      <c r="I5" s="10" t="s">
        <v>21</v>
      </c>
      <c r="J5" s="37" t="s">
        <v>22</v>
      </c>
      <c r="K5" s="37" t="s">
        <v>23</v>
      </c>
      <c r="L5" s="37" t="s">
        <v>24</v>
      </c>
      <c r="M5" s="10" t="s">
        <v>34</v>
      </c>
      <c r="N5" s="10" t="s">
        <v>35</v>
      </c>
      <c r="O5" s="10" t="s">
        <v>36</v>
      </c>
      <c r="P5" s="68"/>
      <c r="Q5" s="38" t="s">
        <v>37</v>
      </c>
      <c r="R5" s="38" t="s">
        <v>38</v>
      </c>
      <c r="S5" s="38" t="s">
        <v>39</v>
      </c>
      <c r="T5" s="38" t="s">
        <v>40</v>
      </c>
      <c r="U5" s="38" t="s">
        <v>41</v>
      </c>
      <c r="V5" s="38" t="s">
        <v>42</v>
      </c>
      <c r="W5" s="38" t="s">
        <v>43</v>
      </c>
      <c r="X5" s="38" t="s">
        <v>44</v>
      </c>
      <c r="Y5" s="38" t="s">
        <v>45</v>
      </c>
      <c r="Z5" s="41" t="s">
        <v>46</v>
      </c>
      <c r="AA5" s="38" t="s">
        <v>47</v>
      </c>
      <c r="AB5" s="42" t="s">
        <v>17</v>
      </c>
      <c r="AC5" s="38"/>
    </row>
    <row r="6" spans="1:30" ht="17.100000000000001" customHeight="1">
      <c r="A6" s="7" t="s">
        <v>48</v>
      </c>
      <c r="B6" s="7">
        <v>1810300114</v>
      </c>
      <c r="C6" s="7"/>
      <c r="D6" s="7" t="s">
        <v>49</v>
      </c>
      <c r="E6" s="7" t="s">
        <v>50</v>
      </c>
      <c r="F6" s="7">
        <v>100</v>
      </c>
      <c r="G6" s="7">
        <v>95</v>
      </c>
      <c r="H6" s="7">
        <v>95</v>
      </c>
      <c r="I6" s="7">
        <v>95</v>
      </c>
      <c r="J6" s="26">
        <v>95</v>
      </c>
      <c r="K6" s="26">
        <v>100</v>
      </c>
      <c r="L6" s="26">
        <v>100</v>
      </c>
      <c r="M6" s="7">
        <v>100</v>
      </c>
      <c r="N6" s="7">
        <v>100</v>
      </c>
      <c r="O6" s="7">
        <v>100</v>
      </c>
      <c r="P6" s="38">
        <f t="shared" ref="P6:P33" si="0">(AVERAGE(F6:I6)+AVERAGE(J6:L6)+AVERAGE(M6:O6))/3</f>
        <v>98.194444444444443</v>
      </c>
      <c r="Q6" s="38">
        <v>16</v>
      </c>
      <c r="R6" s="38">
        <v>2</v>
      </c>
      <c r="S6" s="38">
        <v>10</v>
      </c>
      <c r="T6" s="38">
        <v>10</v>
      </c>
      <c r="U6" s="38">
        <v>6</v>
      </c>
      <c r="V6" s="38">
        <v>8</v>
      </c>
      <c r="W6" s="38">
        <v>8</v>
      </c>
      <c r="X6" s="38">
        <v>10</v>
      </c>
      <c r="Y6" s="38">
        <v>7</v>
      </c>
      <c r="Z6" s="41">
        <f t="shared" ref="Z6:Z33" si="1">SUM(Q6:Y6)</f>
        <v>77</v>
      </c>
      <c r="AA6" s="38">
        <f t="shared" ref="AA6:AA33" si="2">P6</f>
        <v>98.194444444444443</v>
      </c>
      <c r="AB6" s="42">
        <f t="shared" ref="AB6:AB33" si="3">Z6*0.7+AA6*0.3</f>
        <v>83.358333333333334</v>
      </c>
      <c r="AC6" s="38" t="s">
        <v>49</v>
      </c>
    </row>
    <row r="7" spans="1:30" ht="17.100000000000001" customHeight="1">
      <c r="A7" s="7" t="s">
        <v>48</v>
      </c>
      <c r="B7" s="7">
        <v>1810300126</v>
      </c>
      <c r="C7" s="7"/>
      <c r="D7" s="7" t="s">
        <v>51</v>
      </c>
      <c r="E7" s="7" t="s">
        <v>52</v>
      </c>
      <c r="F7" s="7">
        <v>100</v>
      </c>
      <c r="G7" s="7">
        <v>95</v>
      </c>
      <c r="H7" s="7">
        <v>95</v>
      </c>
      <c r="I7" s="7">
        <v>100</v>
      </c>
      <c r="J7" s="26">
        <v>95</v>
      </c>
      <c r="K7" s="26">
        <v>95</v>
      </c>
      <c r="L7" s="26">
        <v>95</v>
      </c>
      <c r="M7" s="7">
        <v>100</v>
      </c>
      <c r="N7" s="7">
        <v>100</v>
      </c>
      <c r="O7" s="7">
        <v>100</v>
      </c>
      <c r="P7" s="38">
        <f t="shared" si="0"/>
        <v>97.5</v>
      </c>
      <c r="Q7" s="38">
        <v>20</v>
      </c>
      <c r="R7" s="38">
        <v>7</v>
      </c>
      <c r="S7" s="38">
        <v>10</v>
      </c>
      <c r="T7" s="38">
        <v>10</v>
      </c>
      <c r="U7" s="38">
        <v>2</v>
      </c>
      <c r="V7" s="38">
        <v>10</v>
      </c>
      <c r="W7" s="38">
        <v>7</v>
      </c>
      <c r="X7" s="38">
        <v>10</v>
      </c>
      <c r="Y7" s="38">
        <v>8</v>
      </c>
      <c r="Z7" s="41">
        <f t="shared" si="1"/>
        <v>84</v>
      </c>
      <c r="AA7" s="38">
        <f t="shared" si="2"/>
        <v>97.5</v>
      </c>
      <c r="AB7" s="42">
        <f t="shared" si="3"/>
        <v>88.05</v>
      </c>
      <c r="AC7" s="38" t="s">
        <v>51</v>
      </c>
    </row>
    <row r="8" spans="1:30" ht="17.100000000000001" customHeight="1">
      <c r="A8" s="7" t="s">
        <v>48</v>
      </c>
      <c r="B8" s="7">
        <v>1810300204</v>
      </c>
      <c r="C8" s="7"/>
      <c r="D8" s="7" t="s">
        <v>53</v>
      </c>
      <c r="E8" s="7" t="s">
        <v>50</v>
      </c>
      <c r="F8" s="7">
        <v>85</v>
      </c>
      <c r="G8" s="7">
        <v>80</v>
      </c>
      <c r="H8" s="7">
        <v>80</v>
      </c>
      <c r="I8" s="7">
        <v>80</v>
      </c>
      <c r="J8" s="26">
        <v>90</v>
      </c>
      <c r="K8" s="26">
        <v>95</v>
      </c>
      <c r="L8" s="26">
        <v>95</v>
      </c>
      <c r="M8" s="7">
        <v>0</v>
      </c>
      <c r="N8" s="7">
        <v>100</v>
      </c>
      <c r="O8" s="7">
        <v>100</v>
      </c>
      <c r="P8" s="38">
        <f t="shared" si="0"/>
        <v>80.416666666666671</v>
      </c>
      <c r="Q8" s="38">
        <v>20</v>
      </c>
      <c r="R8" s="38">
        <v>0</v>
      </c>
      <c r="S8" s="38">
        <v>3</v>
      </c>
      <c r="T8" s="38">
        <v>10</v>
      </c>
      <c r="U8" s="38">
        <v>0</v>
      </c>
      <c r="V8" s="38">
        <v>4</v>
      </c>
      <c r="W8" s="38">
        <v>0</v>
      </c>
      <c r="X8" s="38">
        <v>1</v>
      </c>
      <c r="Y8" s="38">
        <v>2</v>
      </c>
      <c r="Z8" s="41">
        <f t="shared" si="1"/>
        <v>40</v>
      </c>
      <c r="AA8" s="38">
        <f t="shared" si="2"/>
        <v>80.416666666666671</v>
      </c>
      <c r="AB8" s="42">
        <f t="shared" si="3"/>
        <v>52.125</v>
      </c>
      <c r="AC8" s="38" t="s">
        <v>53</v>
      </c>
    </row>
    <row r="9" spans="1:30" ht="17.100000000000001" customHeight="1">
      <c r="A9" s="7" t="s">
        <v>48</v>
      </c>
      <c r="B9" s="7">
        <v>1810300226</v>
      </c>
      <c r="C9" s="7"/>
      <c r="D9" s="7" t="s">
        <v>54</v>
      </c>
      <c r="E9" s="7" t="s">
        <v>52</v>
      </c>
      <c r="F9" s="7">
        <v>95</v>
      </c>
      <c r="G9" s="7">
        <v>100</v>
      </c>
      <c r="H9" s="7">
        <v>100</v>
      </c>
      <c r="I9" s="7">
        <v>90</v>
      </c>
      <c r="J9" s="26">
        <v>95</v>
      </c>
      <c r="K9" s="26">
        <v>100</v>
      </c>
      <c r="L9" s="26">
        <v>95</v>
      </c>
      <c r="M9" s="7">
        <v>100</v>
      </c>
      <c r="N9" s="7">
        <v>100</v>
      </c>
      <c r="O9" s="7">
        <v>100</v>
      </c>
      <c r="P9" s="38">
        <f t="shared" si="0"/>
        <v>97.6388888888889</v>
      </c>
      <c r="Q9" s="38">
        <v>12</v>
      </c>
      <c r="R9" s="38">
        <v>10</v>
      </c>
      <c r="S9" s="38">
        <v>10</v>
      </c>
      <c r="T9" s="38">
        <v>10</v>
      </c>
      <c r="U9" s="38">
        <v>4</v>
      </c>
      <c r="V9" s="38">
        <v>10</v>
      </c>
      <c r="W9" s="38">
        <v>0</v>
      </c>
      <c r="X9" s="38">
        <v>7</v>
      </c>
      <c r="Y9" s="38">
        <v>8</v>
      </c>
      <c r="Z9" s="41">
        <f t="shared" si="1"/>
        <v>71</v>
      </c>
      <c r="AA9" s="38">
        <f t="shared" si="2"/>
        <v>97.6388888888889</v>
      </c>
      <c r="AB9" s="42">
        <f t="shared" si="3"/>
        <v>78.99166666666666</v>
      </c>
      <c r="AC9" s="38" t="s">
        <v>54</v>
      </c>
    </row>
    <row r="10" spans="1:30" ht="17.100000000000001" customHeight="1">
      <c r="A10" s="7" t="s">
        <v>48</v>
      </c>
      <c r="B10" s="7">
        <v>1810300309</v>
      </c>
      <c r="C10" s="7"/>
      <c r="D10" s="7" t="s">
        <v>55</v>
      </c>
      <c r="E10" s="7" t="s">
        <v>50</v>
      </c>
      <c r="F10" s="7">
        <v>100</v>
      </c>
      <c r="G10" s="7">
        <v>100</v>
      </c>
      <c r="H10" s="7">
        <v>95</v>
      </c>
      <c r="I10" s="7">
        <v>90</v>
      </c>
      <c r="J10" s="26">
        <v>95</v>
      </c>
      <c r="K10" s="26">
        <v>100</v>
      </c>
      <c r="L10" s="26">
        <v>95</v>
      </c>
      <c r="M10" s="7">
        <v>100</v>
      </c>
      <c r="N10" s="7">
        <v>100</v>
      </c>
      <c r="O10" s="7">
        <v>100</v>
      </c>
      <c r="P10" s="38">
        <f t="shared" si="0"/>
        <v>97.6388888888889</v>
      </c>
      <c r="Q10" s="38">
        <v>12</v>
      </c>
      <c r="R10" s="38">
        <v>4</v>
      </c>
      <c r="S10" s="38">
        <v>9</v>
      </c>
      <c r="T10" s="38">
        <v>10</v>
      </c>
      <c r="U10" s="38">
        <v>0</v>
      </c>
      <c r="V10" s="38">
        <v>10</v>
      </c>
      <c r="W10" s="38">
        <v>6</v>
      </c>
      <c r="X10" s="38">
        <v>6</v>
      </c>
      <c r="Y10" s="38">
        <v>6</v>
      </c>
      <c r="Z10" s="41">
        <f t="shared" si="1"/>
        <v>63</v>
      </c>
      <c r="AA10" s="38">
        <f t="shared" si="2"/>
        <v>97.6388888888889</v>
      </c>
      <c r="AB10" s="42">
        <f t="shared" si="3"/>
        <v>73.391666666666666</v>
      </c>
      <c r="AC10" s="38" t="s">
        <v>55</v>
      </c>
    </row>
    <row r="11" spans="1:30" ht="17.100000000000001" customHeight="1">
      <c r="A11" s="7" t="s">
        <v>48</v>
      </c>
      <c r="B11" s="7">
        <v>1810300320</v>
      </c>
      <c r="C11" s="7"/>
      <c r="D11" s="7" t="s">
        <v>56</v>
      </c>
      <c r="E11" s="7" t="s">
        <v>50</v>
      </c>
      <c r="F11" s="7">
        <v>95</v>
      </c>
      <c r="G11" s="7">
        <v>90</v>
      </c>
      <c r="H11" s="7">
        <v>90</v>
      </c>
      <c r="I11" s="7">
        <v>90</v>
      </c>
      <c r="J11" s="26">
        <v>95</v>
      </c>
      <c r="K11" s="26">
        <v>95</v>
      </c>
      <c r="L11" s="26">
        <v>100</v>
      </c>
      <c r="M11" s="7">
        <v>100</v>
      </c>
      <c r="N11" s="7">
        <v>100</v>
      </c>
      <c r="O11" s="7">
        <v>100</v>
      </c>
      <c r="P11" s="38">
        <f t="shared" si="0"/>
        <v>95.972222222222229</v>
      </c>
      <c r="Q11" s="38">
        <v>16</v>
      </c>
      <c r="R11" s="38">
        <v>7</v>
      </c>
      <c r="S11" s="38">
        <v>10</v>
      </c>
      <c r="T11" s="38">
        <v>10</v>
      </c>
      <c r="U11" s="38">
        <v>0</v>
      </c>
      <c r="V11" s="38">
        <v>2</v>
      </c>
      <c r="W11" s="38">
        <v>6</v>
      </c>
      <c r="X11" s="38">
        <v>3</v>
      </c>
      <c r="Y11" s="38">
        <v>4</v>
      </c>
      <c r="Z11" s="41">
        <f t="shared" si="1"/>
        <v>58</v>
      </c>
      <c r="AA11" s="38">
        <f t="shared" si="2"/>
        <v>95.972222222222229</v>
      </c>
      <c r="AB11" s="42">
        <f t="shared" si="3"/>
        <v>69.391666666666666</v>
      </c>
      <c r="AC11" s="38" t="s">
        <v>56</v>
      </c>
    </row>
    <row r="12" spans="1:30" ht="17.100000000000001" customHeight="1">
      <c r="A12" s="7" t="s">
        <v>48</v>
      </c>
      <c r="B12" s="7">
        <v>1810300332</v>
      </c>
      <c r="C12" s="7"/>
      <c r="D12" s="7" t="s">
        <v>57</v>
      </c>
      <c r="E12" s="7" t="s">
        <v>52</v>
      </c>
      <c r="F12" s="7">
        <v>95</v>
      </c>
      <c r="G12" s="7">
        <v>100</v>
      </c>
      <c r="H12" s="7">
        <v>90</v>
      </c>
      <c r="I12" s="7">
        <v>100</v>
      </c>
      <c r="J12" s="26">
        <v>100</v>
      </c>
      <c r="K12" s="26">
        <v>95</v>
      </c>
      <c r="L12" s="26">
        <v>95</v>
      </c>
      <c r="M12" s="7">
        <v>100</v>
      </c>
      <c r="N12" s="7">
        <v>100</v>
      </c>
      <c r="O12" s="7">
        <v>100</v>
      </c>
      <c r="P12" s="38">
        <f t="shared" si="0"/>
        <v>97.6388888888889</v>
      </c>
      <c r="Q12" s="38">
        <v>20</v>
      </c>
      <c r="R12" s="38">
        <v>8</v>
      </c>
      <c r="S12" s="38">
        <v>10</v>
      </c>
      <c r="T12" s="38">
        <v>4</v>
      </c>
      <c r="U12" s="38">
        <v>4</v>
      </c>
      <c r="V12" s="38">
        <v>10</v>
      </c>
      <c r="W12" s="38">
        <v>6</v>
      </c>
      <c r="X12" s="38">
        <v>8</v>
      </c>
      <c r="Y12" s="38">
        <v>7</v>
      </c>
      <c r="Z12" s="41">
        <f t="shared" si="1"/>
        <v>77</v>
      </c>
      <c r="AA12" s="38">
        <f t="shared" si="2"/>
        <v>97.6388888888889</v>
      </c>
      <c r="AB12" s="42">
        <f t="shared" si="3"/>
        <v>83.191666666666663</v>
      </c>
      <c r="AC12" s="38" t="s">
        <v>57</v>
      </c>
    </row>
    <row r="13" spans="1:30" ht="17.100000000000001" customHeight="1">
      <c r="A13" s="7" t="s">
        <v>48</v>
      </c>
      <c r="B13" s="7">
        <v>1810300407</v>
      </c>
      <c r="C13" s="7"/>
      <c r="D13" s="7" t="s">
        <v>58</v>
      </c>
      <c r="E13" s="7" t="s">
        <v>50</v>
      </c>
      <c r="F13" s="7">
        <v>95</v>
      </c>
      <c r="G13" s="7">
        <v>100</v>
      </c>
      <c r="H13" s="7">
        <v>100</v>
      </c>
      <c r="I13" s="7">
        <v>100</v>
      </c>
      <c r="J13" s="26">
        <v>95</v>
      </c>
      <c r="K13" s="26">
        <v>100</v>
      </c>
      <c r="L13" s="26">
        <v>100</v>
      </c>
      <c r="M13" s="7">
        <v>100</v>
      </c>
      <c r="N13" s="7">
        <v>100</v>
      </c>
      <c r="O13" s="7">
        <v>100</v>
      </c>
      <c r="P13" s="38">
        <f t="shared" si="0"/>
        <v>99.027777777777771</v>
      </c>
      <c r="Q13" s="38">
        <v>16</v>
      </c>
      <c r="R13" s="38">
        <v>8</v>
      </c>
      <c r="S13" s="38">
        <v>10</v>
      </c>
      <c r="T13" s="38">
        <v>2</v>
      </c>
      <c r="U13" s="38">
        <v>6</v>
      </c>
      <c r="V13" s="38">
        <v>6</v>
      </c>
      <c r="W13" s="38">
        <v>9</v>
      </c>
      <c r="X13" s="38">
        <v>8</v>
      </c>
      <c r="Y13" s="38">
        <v>2</v>
      </c>
      <c r="Z13" s="41">
        <f t="shared" si="1"/>
        <v>67</v>
      </c>
      <c r="AA13" s="38">
        <f t="shared" si="2"/>
        <v>99.027777777777771</v>
      </c>
      <c r="AB13" s="42">
        <f t="shared" si="3"/>
        <v>76.60833333333332</v>
      </c>
      <c r="AC13" s="38" t="s">
        <v>58</v>
      </c>
    </row>
    <row r="14" spans="1:30" ht="17.100000000000001" customHeight="1">
      <c r="A14" s="7" t="s">
        <v>48</v>
      </c>
      <c r="B14" s="7">
        <v>1810300410</v>
      </c>
      <c r="C14" s="7"/>
      <c r="D14" s="7" t="s">
        <v>59</v>
      </c>
      <c r="E14" s="7" t="s">
        <v>50</v>
      </c>
      <c r="F14" s="7">
        <v>100</v>
      </c>
      <c r="G14" s="7">
        <v>100</v>
      </c>
      <c r="H14" s="7">
        <v>100</v>
      </c>
      <c r="I14" s="7">
        <v>100</v>
      </c>
      <c r="J14" s="26">
        <v>95</v>
      </c>
      <c r="K14" s="26">
        <v>100</v>
      </c>
      <c r="L14" s="26">
        <v>100</v>
      </c>
      <c r="M14" s="7">
        <v>100</v>
      </c>
      <c r="N14" s="7">
        <v>100</v>
      </c>
      <c r="O14" s="7">
        <v>100</v>
      </c>
      <c r="P14" s="38">
        <f t="shared" si="0"/>
        <v>99.444444444444443</v>
      </c>
      <c r="Q14" s="38">
        <v>16</v>
      </c>
      <c r="R14" s="38">
        <v>6</v>
      </c>
      <c r="S14" s="38">
        <v>10</v>
      </c>
      <c r="T14" s="38">
        <v>6</v>
      </c>
      <c r="U14" s="38">
        <v>4</v>
      </c>
      <c r="V14" s="38">
        <v>6</v>
      </c>
      <c r="W14" s="38">
        <v>6</v>
      </c>
      <c r="X14" s="38">
        <v>5</v>
      </c>
      <c r="Y14" s="38">
        <v>5</v>
      </c>
      <c r="Z14" s="41">
        <f t="shared" si="1"/>
        <v>64</v>
      </c>
      <c r="AA14" s="38">
        <f t="shared" si="2"/>
        <v>99.444444444444443</v>
      </c>
      <c r="AB14" s="42">
        <f t="shared" si="3"/>
        <v>74.633333333333326</v>
      </c>
      <c r="AC14" s="38" t="s">
        <v>59</v>
      </c>
    </row>
    <row r="15" spans="1:30" ht="17.100000000000001" customHeight="1">
      <c r="A15" s="7" t="s">
        <v>48</v>
      </c>
      <c r="B15" s="7">
        <v>1810300510</v>
      </c>
      <c r="C15" s="7"/>
      <c r="D15" s="7" t="s">
        <v>60</v>
      </c>
      <c r="E15" s="7" t="s">
        <v>50</v>
      </c>
      <c r="F15" s="7">
        <v>100</v>
      </c>
      <c r="G15" s="7">
        <v>100</v>
      </c>
      <c r="H15" s="7">
        <v>100</v>
      </c>
      <c r="I15" s="7">
        <v>100</v>
      </c>
      <c r="J15" s="26">
        <v>95</v>
      </c>
      <c r="K15" s="26">
        <v>100</v>
      </c>
      <c r="L15" s="26">
        <v>95</v>
      </c>
      <c r="M15" s="7">
        <v>100</v>
      </c>
      <c r="N15" s="7">
        <v>100</v>
      </c>
      <c r="O15" s="7">
        <v>100</v>
      </c>
      <c r="P15" s="38">
        <f t="shared" si="0"/>
        <v>98.8888888888889</v>
      </c>
      <c r="Q15" s="38">
        <v>16</v>
      </c>
      <c r="R15" s="38">
        <v>8</v>
      </c>
      <c r="S15" s="38">
        <v>10</v>
      </c>
      <c r="T15" s="38">
        <v>10</v>
      </c>
      <c r="U15" s="38">
        <v>8</v>
      </c>
      <c r="V15" s="38">
        <v>10</v>
      </c>
      <c r="W15" s="38">
        <v>10</v>
      </c>
      <c r="X15" s="38">
        <v>9</v>
      </c>
      <c r="Y15" s="38">
        <v>8</v>
      </c>
      <c r="Z15" s="41">
        <f t="shared" si="1"/>
        <v>89</v>
      </c>
      <c r="AA15" s="38">
        <f t="shared" si="2"/>
        <v>98.8888888888889</v>
      </c>
      <c r="AB15" s="42">
        <f t="shared" si="3"/>
        <v>91.966666666666669</v>
      </c>
      <c r="AC15" s="38" t="s">
        <v>60</v>
      </c>
      <c r="AD15" s="43"/>
    </row>
    <row r="16" spans="1:30" ht="17.100000000000001" customHeight="1">
      <c r="A16" s="7" t="s">
        <v>48</v>
      </c>
      <c r="B16" s="7">
        <v>1810300616</v>
      </c>
      <c r="C16" s="7"/>
      <c r="D16" s="7" t="s">
        <v>61</v>
      </c>
      <c r="E16" s="7" t="s">
        <v>50</v>
      </c>
      <c r="F16" s="7">
        <v>85</v>
      </c>
      <c r="G16" s="7">
        <v>80</v>
      </c>
      <c r="H16" s="7">
        <v>90</v>
      </c>
      <c r="I16" s="7">
        <v>90</v>
      </c>
      <c r="J16" s="26">
        <v>100</v>
      </c>
      <c r="K16" s="26">
        <v>100</v>
      </c>
      <c r="L16" s="26">
        <v>100</v>
      </c>
      <c r="M16" s="7">
        <v>100</v>
      </c>
      <c r="N16" s="7">
        <v>100</v>
      </c>
      <c r="O16" s="7">
        <v>100</v>
      </c>
      <c r="P16" s="38">
        <f t="shared" si="0"/>
        <v>95.416666666666671</v>
      </c>
      <c r="Q16" s="38">
        <v>12</v>
      </c>
      <c r="R16" s="38">
        <v>8</v>
      </c>
      <c r="S16" s="38">
        <v>9</v>
      </c>
      <c r="T16" s="38">
        <v>10</v>
      </c>
      <c r="U16" s="38">
        <v>4</v>
      </c>
      <c r="V16" s="38">
        <v>0</v>
      </c>
      <c r="W16" s="38">
        <v>6</v>
      </c>
      <c r="X16" s="38">
        <v>6</v>
      </c>
      <c r="Y16" s="38">
        <v>4</v>
      </c>
      <c r="Z16" s="41">
        <f t="shared" si="1"/>
        <v>59</v>
      </c>
      <c r="AA16" s="38">
        <f t="shared" si="2"/>
        <v>95.416666666666671</v>
      </c>
      <c r="AB16" s="42">
        <f t="shared" si="3"/>
        <v>69.924999999999997</v>
      </c>
      <c r="AC16" s="38" t="s">
        <v>61</v>
      </c>
      <c r="AD16" s="43"/>
    </row>
    <row r="17" spans="1:31" ht="17.100000000000001" customHeight="1">
      <c r="A17" s="7" t="s">
        <v>48</v>
      </c>
      <c r="B17" s="7">
        <v>1810300614</v>
      </c>
      <c r="C17" s="7"/>
      <c r="D17" s="7" t="s">
        <v>62</v>
      </c>
      <c r="E17" s="7" t="s">
        <v>50</v>
      </c>
      <c r="F17" s="7">
        <v>95</v>
      </c>
      <c r="G17" s="7">
        <v>90</v>
      </c>
      <c r="H17" s="7">
        <v>90</v>
      </c>
      <c r="I17" s="7">
        <v>100</v>
      </c>
      <c r="J17" s="26">
        <v>100</v>
      </c>
      <c r="K17" s="26">
        <v>100</v>
      </c>
      <c r="L17" s="26">
        <v>100</v>
      </c>
      <c r="M17" s="7">
        <v>100</v>
      </c>
      <c r="N17" s="7">
        <v>100</v>
      </c>
      <c r="O17" s="7">
        <v>100</v>
      </c>
      <c r="P17" s="38">
        <f t="shared" si="0"/>
        <v>97.916666666666671</v>
      </c>
      <c r="Q17" s="38">
        <v>16</v>
      </c>
      <c r="R17" s="38">
        <v>8</v>
      </c>
      <c r="S17" s="38">
        <v>10</v>
      </c>
      <c r="T17" s="38">
        <v>10</v>
      </c>
      <c r="U17" s="38">
        <v>4</v>
      </c>
      <c r="V17" s="38">
        <v>8</v>
      </c>
      <c r="W17" s="38">
        <v>6</v>
      </c>
      <c r="X17" s="38">
        <v>6</v>
      </c>
      <c r="Y17" s="38">
        <v>6</v>
      </c>
      <c r="Z17" s="41">
        <f t="shared" si="1"/>
        <v>74</v>
      </c>
      <c r="AA17" s="38">
        <f t="shared" si="2"/>
        <v>97.916666666666671</v>
      </c>
      <c r="AB17" s="42">
        <f t="shared" si="3"/>
        <v>81.174999999999997</v>
      </c>
      <c r="AC17" s="38" t="s">
        <v>62</v>
      </c>
      <c r="AD17" s="43"/>
    </row>
    <row r="18" spans="1:31" ht="17.100000000000001" customHeight="1">
      <c r="A18" s="7" t="s">
        <v>48</v>
      </c>
      <c r="B18" s="7">
        <v>1810300615</v>
      </c>
      <c r="C18" s="7"/>
      <c r="D18" s="7" t="s">
        <v>63</v>
      </c>
      <c r="E18" s="7" t="s">
        <v>50</v>
      </c>
      <c r="F18" s="7">
        <v>95</v>
      </c>
      <c r="G18" s="7">
        <v>100</v>
      </c>
      <c r="H18" s="7">
        <v>100</v>
      </c>
      <c r="I18" s="7">
        <v>100</v>
      </c>
      <c r="J18" s="26">
        <v>100</v>
      </c>
      <c r="K18" s="26">
        <v>95</v>
      </c>
      <c r="L18" s="26">
        <v>100</v>
      </c>
      <c r="M18" s="7">
        <v>100</v>
      </c>
      <c r="N18" s="7">
        <v>100</v>
      </c>
      <c r="O18" s="7">
        <v>100</v>
      </c>
      <c r="P18" s="38">
        <f t="shared" si="0"/>
        <v>99.027777777777771</v>
      </c>
      <c r="Q18" s="38">
        <v>16</v>
      </c>
      <c r="R18" s="38">
        <v>8</v>
      </c>
      <c r="S18" s="38">
        <v>10</v>
      </c>
      <c r="T18" s="38">
        <v>10</v>
      </c>
      <c r="U18" s="38">
        <v>8</v>
      </c>
      <c r="V18" s="38">
        <v>10</v>
      </c>
      <c r="W18" s="38">
        <v>6</v>
      </c>
      <c r="X18" s="38">
        <v>2</v>
      </c>
      <c r="Y18" s="38">
        <v>7</v>
      </c>
      <c r="Z18" s="41">
        <f t="shared" si="1"/>
        <v>77</v>
      </c>
      <c r="AA18" s="38">
        <f t="shared" si="2"/>
        <v>99.027777777777771</v>
      </c>
      <c r="AB18" s="42">
        <f t="shared" si="3"/>
        <v>83.60833333333332</v>
      </c>
      <c r="AC18" s="38" t="s">
        <v>63</v>
      </c>
      <c r="AD18" s="43"/>
    </row>
    <row r="19" spans="1:31" ht="17.100000000000001" customHeight="1">
      <c r="A19" s="7" t="s">
        <v>48</v>
      </c>
      <c r="B19" s="7">
        <v>1810300618</v>
      </c>
      <c r="C19" s="7"/>
      <c r="D19" s="7" t="s">
        <v>64</v>
      </c>
      <c r="E19" s="7" t="s">
        <v>50</v>
      </c>
      <c r="F19" s="7">
        <v>90</v>
      </c>
      <c r="G19" s="7">
        <v>80</v>
      </c>
      <c r="H19" s="7">
        <v>80</v>
      </c>
      <c r="I19" s="7">
        <v>80</v>
      </c>
      <c r="J19" s="26">
        <v>90</v>
      </c>
      <c r="K19" s="26">
        <v>100</v>
      </c>
      <c r="L19" s="26">
        <v>100</v>
      </c>
      <c r="M19" s="7">
        <v>100</v>
      </c>
      <c r="N19" s="7">
        <v>100</v>
      </c>
      <c r="O19" s="7">
        <v>100</v>
      </c>
      <c r="P19" s="38">
        <f t="shared" si="0"/>
        <v>93.055555555555557</v>
      </c>
      <c r="Q19" s="38">
        <v>16</v>
      </c>
      <c r="R19" s="38">
        <v>8</v>
      </c>
      <c r="S19" s="38">
        <v>10</v>
      </c>
      <c r="T19" s="38">
        <v>10</v>
      </c>
      <c r="U19" s="38">
        <v>10</v>
      </c>
      <c r="V19" s="38">
        <v>8</v>
      </c>
      <c r="W19" s="38">
        <v>6</v>
      </c>
      <c r="X19" s="38">
        <v>4</v>
      </c>
      <c r="Y19" s="38">
        <v>5</v>
      </c>
      <c r="Z19" s="41">
        <f t="shared" si="1"/>
        <v>77</v>
      </c>
      <c r="AA19" s="38">
        <f t="shared" si="2"/>
        <v>93.055555555555557</v>
      </c>
      <c r="AB19" s="42">
        <f t="shared" si="3"/>
        <v>81.816666666666663</v>
      </c>
      <c r="AC19" s="38" t="s">
        <v>64</v>
      </c>
      <c r="AD19" s="43"/>
    </row>
    <row r="20" spans="1:31" ht="17.100000000000001" customHeight="1">
      <c r="A20" s="7" t="s">
        <v>48</v>
      </c>
      <c r="B20" s="7">
        <v>1810300619</v>
      </c>
      <c r="C20" s="7"/>
      <c r="D20" s="7" t="s">
        <v>65</v>
      </c>
      <c r="E20" s="7" t="s">
        <v>50</v>
      </c>
      <c r="F20" s="7">
        <v>80</v>
      </c>
      <c r="G20" s="7">
        <v>80</v>
      </c>
      <c r="H20" s="7">
        <v>80</v>
      </c>
      <c r="I20" s="7">
        <v>80</v>
      </c>
      <c r="J20" s="26"/>
      <c r="K20" s="26">
        <v>100</v>
      </c>
      <c r="L20" s="26">
        <v>100</v>
      </c>
      <c r="M20" s="7">
        <v>100</v>
      </c>
      <c r="N20" s="7">
        <v>100</v>
      </c>
      <c r="O20" s="7">
        <v>100</v>
      </c>
      <c r="P20" s="38">
        <f t="shared" si="0"/>
        <v>93.333333333333329</v>
      </c>
      <c r="Q20" s="38">
        <v>8</v>
      </c>
      <c r="R20" s="38">
        <v>3</v>
      </c>
      <c r="S20" s="38">
        <v>10</v>
      </c>
      <c r="T20" s="38">
        <v>4</v>
      </c>
      <c r="U20" s="38">
        <v>6</v>
      </c>
      <c r="V20" s="38">
        <v>6</v>
      </c>
      <c r="W20" s="38">
        <v>6</v>
      </c>
      <c r="X20" s="38">
        <v>6</v>
      </c>
      <c r="Y20" s="38">
        <v>4</v>
      </c>
      <c r="Z20" s="41">
        <f t="shared" si="1"/>
        <v>53</v>
      </c>
      <c r="AA20" s="38">
        <f t="shared" si="2"/>
        <v>93.333333333333329</v>
      </c>
      <c r="AB20" s="42">
        <f t="shared" si="3"/>
        <v>65.099999999999994</v>
      </c>
      <c r="AC20" s="38" t="s">
        <v>65</v>
      </c>
      <c r="AD20" s="43"/>
    </row>
    <row r="21" spans="1:31" ht="17.100000000000001" customHeight="1">
      <c r="A21" s="7" t="s">
        <v>48</v>
      </c>
      <c r="B21" s="7">
        <v>1810300706</v>
      </c>
      <c r="C21" s="7"/>
      <c r="D21" s="7" t="s">
        <v>66</v>
      </c>
      <c r="E21" s="7" t="s">
        <v>50</v>
      </c>
      <c r="F21" s="7">
        <v>85</v>
      </c>
      <c r="G21" s="7">
        <v>80</v>
      </c>
      <c r="H21" s="7">
        <v>85</v>
      </c>
      <c r="I21" s="7">
        <v>85</v>
      </c>
      <c r="J21" s="26">
        <v>95</v>
      </c>
      <c r="K21" s="26">
        <v>100</v>
      </c>
      <c r="L21" s="26">
        <v>100</v>
      </c>
      <c r="M21" s="7">
        <v>100</v>
      </c>
      <c r="N21" s="7">
        <v>100</v>
      </c>
      <c r="O21" s="7">
        <v>100</v>
      </c>
      <c r="P21" s="38">
        <f t="shared" si="0"/>
        <v>94.027777777777771</v>
      </c>
      <c r="Q21" s="38">
        <v>16</v>
      </c>
      <c r="R21" s="38">
        <v>6</v>
      </c>
      <c r="S21" s="38">
        <v>9</v>
      </c>
      <c r="T21" s="38">
        <v>6</v>
      </c>
      <c r="U21" s="38">
        <v>0</v>
      </c>
      <c r="V21" s="38">
        <v>8</v>
      </c>
      <c r="W21" s="38">
        <v>0</v>
      </c>
      <c r="X21" s="38">
        <v>5</v>
      </c>
      <c r="Y21" s="38">
        <v>4</v>
      </c>
      <c r="Z21" s="41">
        <f t="shared" si="1"/>
        <v>54</v>
      </c>
      <c r="AA21" s="38">
        <f t="shared" si="2"/>
        <v>94.027777777777771</v>
      </c>
      <c r="AB21" s="42">
        <f t="shared" si="3"/>
        <v>66.008333333333326</v>
      </c>
      <c r="AC21" s="38" t="s">
        <v>66</v>
      </c>
      <c r="AD21" s="43"/>
    </row>
    <row r="22" spans="1:31" ht="17.100000000000001" customHeight="1">
      <c r="A22" s="7" t="s">
        <v>48</v>
      </c>
      <c r="B22" s="7">
        <v>1810300711</v>
      </c>
      <c r="C22" s="7"/>
      <c r="D22" s="7" t="s">
        <v>67</v>
      </c>
      <c r="E22" s="7" t="s">
        <v>50</v>
      </c>
      <c r="F22" s="7">
        <v>85</v>
      </c>
      <c r="G22" s="7">
        <v>80</v>
      </c>
      <c r="H22" s="7">
        <v>85</v>
      </c>
      <c r="I22" s="7">
        <v>85</v>
      </c>
      <c r="J22" s="26">
        <v>100</v>
      </c>
      <c r="K22" s="26">
        <v>100</v>
      </c>
      <c r="L22" s="26">
        <v>100</v>
      </c>
      <c r="M22" s="7">
        <v>100</v>
      </c>
      <c r="N22" s="7">
        <v>100</v>
      </c>
      <c r="O22" s="7">
        <v>100</v>
      </c>
      <c r="P22" s="38">
        <f t="shared" si="0"/>
        <v>94.583333333333329</v>
      </c>
      <c r="Q22" s="38">
        <v>20</v>
      </c>
      <c r="R22" s="38">
        <v>8</v>
      </c>
      <c r="S22" s="38">
        <v>9</v>
      </c>
      <c r="T22" s="38">
        <v>10</v>
      </c>
      <c r="U22" s="38">
        <v>6</v>
      </c>
      <c r="V22" s="38">
        <v>4</v>
      </c>
      <c r="W22" s="38">
        <v>0</v>
      </c>
      <c r="X22" s="38">
        <v>2</v>
      </c>
      <c r="Y22" s="38">
        <v>3</v>
      </c>
      <c r="Z22" s="41">
        <f t="shared" si="1"/>
        <v>62</v>
      </c>
      <c r="AA22" s="38">
        <f t="shared" si="2"/>
        <v>94.583333333333329</v>
      </c>
      <c r="AB22" s="42">
        <f t="shared" si="3"/>
        <v>71.774999999999991</v>
      </c>
      <c r="AC22" s="38" t="s">
        <v>67</v>
      </c>
      <c r="AD22" s="43"/>
    </row>
    <row r="23" spans="1:31" ht="17.100000000000001" customHeight="1">
      <c r="A23" s="7" t="s">
        <v>48</v>
      </c>
      <c r="B23" s="7">
        <v>1810300713</v>
      </c>
      <c r="C23" s="7"/>
      <c r="D23" s="7" t="s">
        <v>68</v>
      </c>
      <c r="E23" s="7" t="s">
        <v>50</v>
      </c>
      <c r="F23" s="7">
        <v>90</v>
      </c>
      <c r="G23" s="7">
        <v>80</v>
      </c>
      <c r="H23" s="7">
        <v>80</v>
      </c>
      <c r="I23" s="7">
        <v>80</v>
      </c>
      <c r="J23" s="26">
        <v>90</v>
      </c>
      <c r="K23" s="26">
        <v>95</v>
      </c>
      <c r="L23" s="26">
        <v>100</v>
      </c>
      <c r="M23" s="7">
        <v>100</v>
      </c>
      <c r="N23" s="7">
        <v>100</v>
      </c>
      <c r="O23" s="7">
        <v>100</v>
      </c>
      <c r="P23" s="38">
        <f t="shared" si="0"/>
        <v>92.5</v>
      </c>
      <c r="Q23" s="38">
        <v>12</v>
      </c>
      <c r="R23" s="38">
        <v>10</v>
      </c>
      <c r="S23" s="38">
        <v>9</v>
      </c>
      <c r="T23" s="38">
        <v>10</v>
      </c>
      <c r="U23" s="38">
        <v>6</v>
      </c>
      <c r="V23" s="38">
        <v>10</v>
      </c>
      <c r="W23" s="38">
        <v>4</v>
      </c>
      <c r="X23" s="38">
        <v>5</v>
      </c>
      <c r="Y23" s="38">
        <v>4</v>
      </c>
      <c r="Z23" s="41">
        <f t="shared" si="1"/>
        <v>70</v>
      </c>
      <c r="AA23" s="38">
        <f t="shared" si="2"/>
        <v>92.5</v>
      </c>
      <c r="AB23" s="42">
        <f t="shared" si="3"/>
        <v>76.75</v>
      </c>
      <c r="AC23" s="38" t="s">
        <v>68</v>
      </c>
      <c r="AD23" s="43"/>
    </row>
    <row r="24" spans="1:31" ht="17.100000000000001" customHeight="1">
      <c r="A24" s="7" t="s">
        <v>48</v>
      </c>
      <c r="B24" s="7">
        <v>1810300720</v>
      </c>
      <c r="C24" s="7"/>
      <c r="D24" s="7" t="s">
        <v>69</v>
      </c>
      <c r="E24" s="7" t="s">
        <v>50</v>
      </c>
      <c r="F24" s="7">
        <v>90</v>
      </c>
      <c r="G24" s="7">
        <v>85</v>
      </c>
      <c r="H24" s="7">
        <v>85</v>
      </c>
      <c r="I24" s="7">
        <v>90</v>
      </c>
      <c r="J24" s="26">
        <v>100</v>
      </c>
      <c r="K24" s="26">
        <v>100</v>
      </c>
      <c r="L24" s="26">
        <v>100</v>
      </c>
      <c r="M24" s="7">
        <v>100</v>
      </c>
      <c r="N24" s="7">
        <v>100</v>
      </c>
      <c r="O24" s="7">
        <v>100</v>
      </c>
      <c r="P24" s="38">
        <f t="shared" si="0"/>
        <v>95.833333333333329</v>
      </c>
      <c r="Q24" s="38">
        <v>20</v>
      </c>
      <c r="R24" s="38">
        <v>8</v>
      </c>
      <c r="S24" s="38">
        <v>9</v>
      </c>
      <c r="T24" s="38">
        <v>10</v>
      </c>
      <c r="U24" s="38">
        <v>10</v>
      </c>
      <c r="V24" s="38">
        <v>8</v>
      </c>
      <c r="W24" s="38">
        <v>6</v>
      </c>
      <c r="X24" s="38">
        <v>1</v>
      </c>
      <c r="Y24" s="38">
        <v>3</v>
      </c>
      <c r="Z24" s="41">
        <f t="shared" si="1"/>
        <v>75</v>
      </c>
      <c r="AA24" s="38">
        <f t="shared" si="2"/>
        <v>95.833333333333329</v>
      </c>
      <c r="AB24" s="42">
        <f t="shared" si="3"/>
        <v>81.25</v>
      </c>
      <c r="AC24" s="38" t="s">
        <v>69</v>
      </c>
      <c r="AD24" s="43"/>
    </row>
    <row r="25" spans="1:31" ht="17.100000000000001" customHeight="1">
      <c r="A25" s="7" t="s">
        <v>48</v>
      </c>
      <c r="B25" s="7">
        <v>1810300722</v>
      </c>
      <c r="C25" s="7"/>
      <c r="D25" s="7" t="s">
        <v>70</v>
      </c>
      <c r="E25" s="7" t="s">
        <v>50</v>
      </c>
      <c r="F25" s="7">
        <v>85</v>
      </c>
      <c r="G25" s="7">
        <v>90</v>
      </c>
      <c r="H25" s="7">
        <v>80</v>
      </c>
      <c r="I25" s="7">
        <v>80</v>
      </c>
      <c r="J25" s="26">
        <v>95</v>
      </c>
      <c r="K25" s="26">
        <v>100</v>
      </c>
      <c r="L25" s="26">
        <v>95</v>
      </c>
      <c r="M25" s="7">
        <v>100</v>
      </c>
      <c r="N25" s="7">
        <v>100</v>
      </c>
      <c r="O25" s="7">
        <v>100</v>
      </c>
      <c r="P25" s="38">
        <f t="shared" si="0"/>
        <v>93.472222222222229</v>
      </c>
      <c r="Q25" s="38">
        <v>20</v>
      </c>
      <c r="R25" s="38">
        <v>8</v>
      </c>
      <c r="S25" s="38">
        <v>9</v>
      </c>
      <c r="T25" s="38">
        <v>10</v>
      </c>
      <c r="U25" s="38">
        <v>4</v>
      </c>
      <c r="V25" s="38">
        <v>10</v>
      </c>
      <c r="W25" s="38">
        <v>6</v>
      </c>
      <c r="X25" s="38">
        <v>8</v>
      </c>
      <c r="Y25" s="38">
        <v>4</v>
      </c>
      <c r="Z25" s="41">
        <f t="shared" si="1"/>
        <v>79</v>
      </c>
      <c r="AA25" s="38">
        <f t="shared" si="2"/>
        <v>93.472222222222229</v>
      </c>
      <c r="AB25" s="42">
        <f t="shared" si="3"/>
        <v>83.341666666666669</v>
      </c>
      <c r="AC25" s="38" t="s">
        <v>70</v>
      </c>
      <c r="AD25" s="43"/>
      <c r="AE25" s="43"/>
    </row>
    <row r="26" spans="1:31" ht="17.100000000000001" customHeight="1">
      <c r="A26" s="7" t="s">
        <v>48</v>
      </c>
      <c r="B26" s="7">
        <v>1810300801</v>
      </c>
      <c r="C26" s="7"/>
      <c r="D26" s="7" t="s">
        <v>71</v>
      </c>
      <c r="E26" s="7" t="s">
        <v>50</v>
      </c>
      <c r="F26" s="7">
        <v>80</v>
      </c>
      <c r="G26" s="7">
        <v>80</v>
      </c>
      <c r="H26" s="7">
        <v>85</v>
      </c>
      <c r="I26" s="7">
        <v>80</v>
      </c>
      <c r="J26" s="26">
        <v>85</v>
      </c>
      <c r="K26" s="26">
        <v>100</v>
      </c>
      <c r="L26" s="26">
        <v>100</v>
      </c>
      <c r="M26" s="7">
        <v>100</v>
      </c>
      <c r="N26" s="7">
        <v>100</v>
      </c>
      <c r="O26" s="7">
        <v>100</v>
      </c>
      <c r="P26" s="38">
        <f t="shared" si="0"/>
        <v>92.083333333333329</v>
      </c>
      <c r="Q26" s="38">
        <v>12</v>
      </c>
      <c r="R26" s="38">
        <v>6</v>
      </c>
      <c r="S26" s="38">
        <v>9</v>
      </c>
      <c r="T26" s="38">
        <v>10</v>
      </c>
      <c r="U26" s="38">
        <v>4</v>
      </c>
      <c r="V26" s="38">
        <v>10</v>
      </c>
      <c r="W26" s="38">
        <v>6</v>
      </c>
      <c r="X26" s="38">
        <v>1</v>
      </c>
      <c r="Y26" s="38">
        <v>3</v>
      </c>
      <c r="Z26" s="41">
        <f t="shared" si="1"/>
        <v>61</v>
      </c>
      <c r="AA26" s="38">
        <f t="shared" si="2"/>
        <v>92.083333333333329</v>
      </c>
      <c r="AB26" s="42">
        <f t="shared" si="3"/>
        <v>70.324999999999989</v>
      </c>
      <c r="AC26" s="38" t="s">
        <v>71</v>
      </c>
      <c r="AD26" s="43"/>
      <c r="AE26" s="43"/>
    </row>
    <row r="27" spans="1:31" ht="17.100000000000001" customHeight="1">
      <c r="A27" s="7" t="s">
        <v>48</v>
      </c>
      <c r="B27" s="7">
        <v>1810300814</v>
      </c>
      <c r="C27" s="7"/>
      <c r="D27" s="7" t="s">
        <v>72</v>
      </c>
      <c r="E27" s="7" t="s">
        <v>50</v>
      </c>
      <c r="F27" s="7">
        <v>80</v>
      </c>
      <c r="G27" s="7">
        <v>80</v>
      </c>
      <c r="H27" s="7">
        <v>85</v>
      </c>
      <c r="I27" s="7">
        <v>80</v>
      </c>
      <c r="J27" s="26">
        <v>85</v>
      </c>
      <c r="K27" s="26">
        <v>100</v>
      </c>
      <c r="L27" s="26">
        <v>95</v>
      </c>
      <c r="M27" s="7">
        <v>80</v>
      </c>
      <c r="N27" s="7">
        <v>100</v>
      </c>
      <c r="O27" s="7">
        <v>100</v>
      </c>
      <c r="P27" s="38">
        <f t="shared" si="0"/>
        <v>89.305555555555543</v>
      </c>
      <c r="Q27" s="38">
        <v>16</v>
      </c>
      <c r="R27" s="38">
        <v>9</v>
      </c>
      <c r="S27" s="38">
        <v>10</v>
      </c>
      <c r="T27" s="38">
        <v>10</v>
      </c>
      <c r="U27" s="38">
        <v>4</v>
      </c>
      <c r="V27" s="38">
        <v>4</v>
      </c>
      <c r="W27" s="38">
        <v>0</v>
      </c>
      <c r="X27" s="38">
        <v>6</v>
      </c>
      <c r="Y27" s="38">
        <v>1</v>
      </c>
      <c r="Z27" s="41">
        <f t="shared" si="1"/>
        <v>60</v>
      </c>
      <c r="AA27" s="38">
        <f t="shared" si="2"/>
        <v>89.305555555555543</v>
      </c>
      <c r="AB27" s="42">
        <f t="shared" si="3"/>
        <v>68.791666666666657</v>
      </c>
      <c r="AC27" s="38" t="s">
        <v>72</v>
      </c>
      <c r="AD27" s="43"/>
      <c r="AE27" s="43"/>
    </row>
    <row r="28" spans="1:31" ht="17.100000000000001" customHeight="1">
      <c r="A28" s="7" t="s">
        <v>48</v>
      </c>
      <c r="B28" s="7">
        <v>1810300918</v>
      </c>
      <c r="C28" s="7"/>
      <c r="D28" s="7" t="s">
        <v>73</v>
      </c>
      <c r="E28" s="7" t="s">
        <v>50</v>
      </c>
      <c r="F28" s="7">
        <v>100</v>
      </c>
      <c r="G28" s="7">
        <v>95</v>
      </c>
      <c r="H28" s="7">
        <v>95</v>
      </c>
      <c r="I28" s="7">
        <v>100</v>
      </c>
      <c r="J28" s="26">
        <v>95</v>
      </c>
      <c r="K28" s="26">
        <v>100</v>
      </c>
      <c r="L28" s="26">
        <v>100</v>
      </c>
      <c r="M28" s="7">
        <v>100</v>
      </c>
      <c r="N28" s="7">
        <v>100</v>
      </c>
      <c r="O28" s="7">
        <v>100</v>
      </c>
      <c r="P28" s="38">
        <f t="shared" si="0"/>
        <v>98.6111111111111</v>
      </c>
      <c r="Q28" s="38">
        <v>12</v>
      </c>
      <c r="R28" s="38">
        <v>8</v>
      </c>
      <c r="S28" s="38">
        <v>10</v>
      </c>
      <c r="T28" s="38">
        <v>10</v>
      </c>
      <c r="U28" s="38">
        <v>10</v>
      </c>
      <c r="V28" s="38">
        <v>8</v>
      </c>
      <c r="W28" s="38">
        <v>6</v>
      </c>
      <c r="X28" s="38">
        <v>3</v>
      </c>
      <c r="Y28" s="38">
        <v>3</v>
      </c>
      <c r="Z28" s="41">
        <f t="shared" si="1"/>
        <v>70</v>
      </c>
      <c r="AA28" s="38">
        <f t="shared" si="2"/>
        <v>98.6111111111111</v>
      </c>
      <c r="AB28" s="42">
        <f t="shared" si="3"/>
        <v>78.583333333333329</v>
      </c>
      <c r="AC28" s="38" t="s">
        <v>73</v>
      </c>
      <c r="AD28" s="43"/>
      <c r="AE28" s="43"/>
    </row>
    <row r="29" spans="1:31" ht="17.100000000000001" customHeight="1">
      <c r="A29" s="7" t="s">
        <v>48</v>
      </c>
      <c r="B29" s="7">
        <v>1810301028</v>
      </c>
      <c r="C29" s="7"/>
      <c r="D29" s="7" t="s">
        <v>74</v>
      </c>
      <c r="E29" s="7" t="s">
        <v>52</v>
      </c>
      <c r="F29" s="7">
        <v>95</v>
      </c>
      <c r="G29" s="7">
        <v>85</v>
      </c>
      <c r="H29" s="7">
        <v>85</v>
      </c>
      <c r="I29" s="7">
        <v>80</v>
      </c>
      <c r="J29" s="26">
        <v>90</v>
      </c>
      <c r="K29" s="26">
        <v>95</v>
      </c>
      <c r="L29" s="26">
        <v>100</v>
      </c>
      <c r="M29" s="7">
        <v>100</v>
      </c>
      <c r="N29" s="7">
        <v>100</v>
      </c>
      <c r="O29" s="7">
        <v>100</v>
      </c>
      <c r="P29" s="38">
        <f t="shared" si="0"/>
        <v>93.75</v>
      </c>
      <c r="Q29" s="38">
        <v>16</v>
      </c>
      <c r="R29" s="38">
        <v>4</v>
      </c>
      <c r="S29" s="38">
        <v>9</v>
      </c>
      <c r="T29" s="38">
        <v>10</v>
      </c>
      <c r="U29" s="38">
        <v>8</v>
      </c>
      <c r="V29" s="38">
        <v>8</v>
      </c>
      <c r="W29" s="38">
        <v>7</v>
      </c>
      <c r="X29" s="38">
        <v>1</v>
      </c>
      <c r="Y29" s="38">
        <v>3</v>
      </c>
      <c r="Z29" s="41">
        <f t="shared" si="1"/>
        <v>66</v>
      </c>
      <c r="AA29" s="38">
        <f t="shared" si="2"/>
        <v>93.75</v>
      </c>
      <c r="AB29" s="42">
        <f t="shared" si="3"/>
        <v>74.324999999999989</v>
      </c>
      <c r="AC29" s="38" t="s">
        <v>74</v>
      </c>
      <c r="AD29" s="43"/>
      <c r="AE29" s="43"/>
    </row>
    <row r="30" spans="1:31" ht="17.100000000000001" customHeight="1">
      <c r="A30" s="7" t="s">
        <v>48</v>
      </c>
      <c r="B30" s="7">
        <v>1810301104</v>
      </c>
      <c r="C30" s="7"/>
      <c r="D30" s="7" t="s">
        <v>75</v>
      </c>
      <c r="E30" s="7" t="s">
        <v>50</v>
      </c>
      <c r="F30" s="7">
        <v>95</v>
      </c>
      <c r="G30" s="7">
        <v>90</v>
      </c>
      <c r="H30" s="7">
        <v>85</v>
      </c>
      <c r="I30" s="7">
        <v>80</v>
      </c>
      <c r="J30" s="26">
        <v>90</v>
      </c>
      <c r="K30" s="26">
        <v>100</v>
      </c>
      <c r="L30" s="26">
        <v>100</v>
      </c>
      <c r="M30" s="7">
        <v>100</v>
      </c>
      <c r="N30" s="7">
        <v>100</v>
      </c>
      <c r="O30" s="7">
        <v>100</v>
      </c>
      <c r="P30" s="38">
        <f t="shared" si="0"/>
        <v>94.722222222222229</v>
      </c>
      <c r="Q30" s="38">
        <v>20</v>
      </c>
      <c r="R30" s="38">
        <v>6</v>
      </c>
      <c r="S30" s="38">
        <v>7</v>
      </c>
      <c r="T30" s="38">
        <v>10</v>
      </c>
      <c r="U30" s="38">
        <v>0</v>
      </c>
      <c r="V30" s="38">
        <v>8</v>
      </c>
      <c r="W30" s="38">
        <v>6</v>
      </c>
      <c r="X30" s="38">
        <v>4</v>
      </c>
      <c r="Y30" s="38">
        <v>3</v>
      </c>
      <c r="Z30" s="41">
        <f t="shared" si="1"/>
        <v>64</v>
      </c>
      <c r="AA30" s="38">
        <f t="shared" si="2"/>
        <v>94.722222222222229</v>
      </c>
      <c r="AB30" s="42">
        <f t="shared" si="3"/>
        <v>73.216666666666669</v>
      </c>
      <c r="AC30" s="38" t="s">
        <v>75</v>
      </c>
      <c r="AD30" s="43"/>
      <c r="AE30" s="43"/>
    </row>
    <row r="31" spans="1:31" ht="17.100000000000001" customHeight="1">
      <c r="A31" s="7" t="s">
        <v>48</v>
      </c>
      <c r="B31" s="7">
        <v>1810301130</v>
      </c>
      <c r="C31" s="7"/>
      <c r="D31" s="7" t="s">
        <v>76</v>
      </c>
      <c r="E31" s="7" t="s">
        <v>52</v>
      </c>
      <c r="F31" s="7">
        <v>95</v>
      </c>
      <c r="G31" s="7">
        <v>85</v>
      </c>
      <c r="H31" s="7">
        <v>90</v>
      </c>
      <c r="I31" s="7">
        <v>90</v>
      </c>
      <c r="J31" s="26">
        <v>90</v>
      </c>
      <c r="K31" s="26">
        <v>95</v>
      </c>
      <c r="L31" s="26">
        <v>95</v>
      </c>
      <c r="M31" s="7">
        <v>100</v>
      </c>
      <c r="N31" s="7">
        <v>100</v>
      </c>
      <c r="O31" s="7">
        <v>100</v>
      </c>
      <c r="P31" s="38">
        <f t="shared" si="0"/>
        <v>94.444444444444443</v>
      </c>
      <c r="Q31" s="38">
        <v>20</v>
      </c>
      <c r="R31" s="38">
        <v>6</v>
      </c>
      <c r="S31" s="38">
        <v>10</v>
      </c>
      <c r="T31" s="38">
        <v>10</v>
      </c>
      <c r="U31" s="38">
        <v>2</v>
      </c>
      <c r="V31" s="38">
        <v>4</v>
      </c>
      <c r="W31" s="38">
        <v>6</v>
      </c>
      <c r="X31" s="38">
        <v>2</v>
      </c>
      <c r="Y31" s="38">
        <v>5</v>
      </c>
      <c r="Z31" s="41">
        <f t="shared" si="1"/>
        <v>65</v>
      </c>
      <c r="AA31" s="38">
        <f t="shared" si="2"/>
        <v>94.444444444444443</v>
      </c>
      <c r="AB31" s="42">
        <f t="shared" si="3"/>
        <v>73.833333333333329</v>
      </c>
      <c r="AC31" s="38" t="s">
        <v>76</v>
      </c>
      <c r="AD31" s="43"/>
      <c r="AE31" s="43"/>
    </row>
    <row r="32" spans="1:31" ht="17.100000000000001" customHeight="1">
      <c r="A32" s="7" t="s">
        <v>48</v>
      </c>
      <c r="B32" s="7">
        <v>1810301204</v>
      </c>
      <c r="C32" s="7"/>
      <c r="D32" s="7" t="s">
        <v>77</v>
      </c>
      <c r="E32" s="7" t="s">
        <v>50</v>
      </c>
      <c r="F32" s="7">
        <v>100</v>
      </c>
      <c r="G32" s="7">
        <v>95</v>
      </c>
      <c r="H32" s="7">
        <v>100</v>
      </c>
      <c r="I32" s="7">
        <v>95</v>
      </c>
      <c r="J32" s="26">
        <v>95</v>
      </c>
      <c r="K32" s="26">
        <v>100</v>
      </c>
      <c r="L32" s="26">
        <v>100</v>
      </c>
      <c r="M32" s="7">
        <v>100</v>
      </c>
      <c r="N32" s="7">
        <v>100</v>
      </c>
      <c r="O32" s="7">
        <v>100</v>
      </c>
      <c r="P32" s="38">
        <f t="shared" si="0"/>
        <v>98.6111111111111</v>
      </c>
      <c r="Q32" s="38">
        <v>16</v>
      </c>
      <c r="R32" s="38">
        <v>7</v>
      </c>
      <c r="S32" s="38">
        <v>10</v>
      </c>
      <c r="T32" s="38">
        <v>10</v>
      </c>
      <c r="U32" s="38">
        <v>4</v>
      </c>
      <c r="V32" s="38">
        <v>8</v>
      </c>
      <c r="W32" s="38">
        <v>6</v>
      </c>
      <c r="X32" s="38">
        <v>6</v>
      </c>
      <c r="Y32" s="38">
        <v>5</v>
      </c>
      <c r="Z32" s="41">
        <f t="shared" si="1"/>
        <v>72</v>
      </c>
      <c r="AA32" s="38">
        <f t="shared" si="2"/>
        <v>98.6111111111111</v>
      </c>
      <c r="AB32" s="42">
        <f t="shared" si="3"/>
        <v>79.98333333333332</v>
      </c>
      <c r="AC32" s="38" t="s">
        <v>77</v>
      </c>
      <c r="AD32" s="43"/>
      <c r="AE32" s="43"/>
    </row>
    <row r="33" spans="1:31" ht="17.100000000000001" customHeight="1">
      <c r="A33" s="7" t="s">
        <v>48</v>
      </c>
      <c r="B33" s="7">
        <v>1810511103</v>
      </c>
      <c r="C33" s="7"/>
      <c r="D33" s="7" t="s">
        <v>78</v>
      </c>
      <c r="E33" s="7" t="s">
        <v>50</v>
      </c>
      <c r="F33" s="7">
        <v>85</v>
      </c>
      <c r="G33" s="7">
        <v>85</v>
      </c>
      <c r="H33" s="7">
        <v>80</v>
      </c>
      <c r="I33" s="7">
        <v>85</v>
      </c>
      <c r="J33" s="26">
        <v>95</v>
      </c>
      <c r="K33" s="26">
        <v>100</v>
      </c>
      <c r="L33" s="26">
        <v>100</v>
      </c>
      <c r="M33" s="7">
        <v>100</v>
      </c>
      <c r="N33" s="7">
        <v>100</v>
      </c>
      <c r="O33" s="7">
        <v>100</v>
      </c>
      <c r="P33" s="38">
        <f t="shared" si="0"/>
        <v>94.027777777777771</v>
      </c>
      <c r="Q33" s="38">
        <v>12</v>
      </c>
      <c r="R33" s="38">
        <v>5</v>
      </c>
      <c r="S33" s="38">
        <v>4</v>
      </c>
      <c r="T33" s="38">
        <v>10</v>
      </c>
      <c r="U33" s="38">
        <v>0</v>
      </c>
      <c r="V33" s="38">
        <v>4</v>
      </c>
      <c r="W33" s="38">
        <v>8</v>
      </c>
      <c r="X33" s="38">
        <v>10</v>
      </c>
      <c r="Y33" s="38">
        <v>3</v>
      </c>
      <c r="Z33" s="41">
        <f t="shared" si="1"/>
        <v>56</v>
      </c>
      <c r="AA33" s="38">
        <f t="shared" si="2"/>
        <v>94.027777777777771</v>
      </c>
      <c r="AB33" s="42">
        <f t="shared" si="3"/>
        <v>67.408333333333331</v>
      </c>
      <c r="AC33" s="38" t="s">
        <v>78</v>
      </c>
      <c r="AD33" s="43"/>
      <c r="AE33" s="43"/>
    </row>
    <row r="34" spans="1:31" s="1" customFormat="1" ht="17.100000000000001" customHeight="1">
      <c r="A34" s="7" t="s">
        <v>80</v>
      </c>
      <c r="B34" s="7" t="s">
        <v>81</v>
      </c>
      <c r="C34" s="7">
        <v>1</v>
      </c>
      <c r="D34" s="7" t="s">
        <v>82</v>
      </c>
      <c r="E34" s="7" t="s">
        <v>50</v>
      </c>
      <c r="F34" s="7">
        <v>75</v>
      </c>
      <c r="G34" s="7">
        <v>75</v>
      </c>
      <c r="H34" s="7">
        <v>70</v>
      </c>
      <c r="I34" s="7">
        <v>75</v>
      </c>
      <c r="J34" s="26">
        <v>95</v>
      </c>
      <c r="K34" s="26">
        <v>95</v>
      </c>
      <c r="L34" s="26">
        <v>95</v>
      </c>
      <c r="M34" s="7">
        <v>100</v>
      </c>
      <c r="N34" s="7">
        <v>100</v>
      </c>
      <c r="O34" s="7">
        <v>100</v>
      </c>
      <c r="P34" s="38">
        <f t="shared" ref="P34:P88" si="4">(AVERAGE(F34:I34)+AVERAGE(J34:L34)+AVERAGE(M34:O34))/3</f>
        <v>89.583333333333329</v>
      </c>
      <c r="Q34" s="38">
        <v>16</v>
      </c>
      <c r="R34" s="38">
        <v>5</v>
      </c>
      <c r="S34" s="38">
        <v>9</v>
      </c>
      <c r="T34" s="38">
        <v>10</v>
      </c>
      <c r="U34" s="38">
        <v>2</v>
      </c>
      <c r="V34" s="38">
        <v>0</v>
      </c>
      <c r="W34" s="38">
        <v>0</v>
      </c>
      <c r="X34" s="38">
        <v>6</v>
      </c>
      <c r="Y34" s="38">
        <v>5</v>
      </c>
      <c r="Z34" s="41">
        <f t="shared" ref="Z34:Z88" si="5">SUM(Q34:Y34)</f>
        <v>53</v>
      </c>
      <c r="AA34" s="38">
        <f t="shared" ref="AA34:AA88" si="6">P34</f>
        <v>89.583333333333329</v>
      </c>
      <c r="AB34" s="42">
        <f t="shared" ref="AB34:AB88" si="7">Z34*0.7+AA34*0.3</f>
        <v>63.974999999999994</v>
      </c>
      <c r="AC34" s="38" t="s">
        <v>82</v>
      </c>
      <c r="AD34" s="43"/>
      <c r="AE34" s="43"/>
    </row>
    <row r="35" spans="1:31" s="1" customFormat="1" ht="17.100000000000001" customHeight="1">
      <c r="A35" s="7" t="s">
        <v>80</v>
      </c>
      <c r="B35" s="7" t="s">
        <v>83</v>
      </c>
      <c r="C35" s="7">
        <v>2</v>
      </c>
      <c r="D35" s="7" t="s">
        <v>84</v>
      </c>
      <c r="E35" s="7" t="s">
        <v>50</v>
      </c>
      <c r="F35" s="7">
        <v>100</v>
      </c>
      <c r="G35" s="7">
        <v>100</v>
      </c>
      <c r="H35" s="7">
        <v>100</v>
      </c>
      <c r="I35" s="7">
        <v>100</v>
      </c>
      <c r="J35" s="26">
        <v>100</v>
      </c>
      <c r="K35" s="26">
        <v>95</v>
      </c>
      <c r="L35" s="26">
        <v>95</v>
      </c>
      <c r="M35" s="7">
        <v>100</v>
      </c>
      <c r="N35" s="7">
        <v>100</v>
      </c>
      <c r="O35" s="7">
        <v>100</v>
      </c>
      <c r="P35" s="38">
        <f t="shared" si="4"/>
        <v>98.8888888888889</v>
      </c>
      <c r="Q35" s="38">
        <v>16</v>
      </c>
      <c r="R35" s="38">
        <v>6</v>
      </c>
      <c r="S35" s="38">
        <v>10</v>
      </c>
      <c r="T35" s="38">
        <v>10</v>
      </c>
      <c r="U35" s="38">
        <v>6</v>
      </c>
      <c r="V35" s="38">
        <v>8</v>
      </c>
      <c r="W35" s="38">
        <v>8</v>
      </c>
      <c r="X35" s="38">
        <v>10</v>
      </c>
      <c r="Y35" s="38">
        <v>7</v>
      </c>
      <c r="Z35" s="41">
        <f t="shared" si="5"/>
        <v>81</v>
      </c>
      <c r="AA35" s="38">
        <f t="shared" si="6"/>
        <v>98.8888888888889</v>
      </c>
      <c r="AB35" s="42">
        <f t="shared" si="7"/>
        <v>86.36666666666666</v>
      </c>
      <c r="AC35" s="38" t="s">
        <v>84</v>
      </c>
      <c r="AD35" s="43"/>
      <c r="AE35" s="43"/>
    </row>
    <row r="36" spans="1:31" s="1" customFormat="1" ht="17.100000000000001" customHeight="1">
      <c r="A36" s="7" t="s">
        <v>80</v>
      </c>
      <c r="B36" s="7" t="s">
        <v>85</v>
      </c>
      <c r="C36" s="7">
        <v>3</v>
      </c>
      <c r="D36" s="7" t="s">
        <v>86</v>
      </c>
      <c r="E36" s="7" t="s">
        <v>50</v>
      </c>
      <c r="F36" s="7">
        <v>95</v>
      </c>
      <c r="G36" s="7">
        <v>90</v>
      </c>
      <c r="H36" s="7">
        <v>95</v>
      </c>
      <c r="I36" s="7">
        <v>95</v>
      </c>
      <c r="J36" s="26">
        <v>95</v>
      </c>
      <c r="K36" s="26">
        <v>95</v>
      </c>
      <c r="L36" s="26">
        <v>95</v>
      </c>
      <c r="M36" s="7">
        <v>100</v>
      </c>
      <c r="N36" s="7">
        <v>100</v>
      </c>
      <c r="O36" s="7">
        <v>100</v>
      </c>
      <c r="P36" s="38">
        <f t="shared" si="4"/>
        <v>96.25</v>
      </c>
      <c r="Q36" s="38">
        <v>16</v>
      </c>
      <c r="R36" s="38">
        <v>8</v>
      </c>
      <c r="S36" s="38">
        <v>10</v>
      </c>
      <c r="T36" s="38">
        <v>10</v>
      </c>
      <c r="U36" s="38">
        <v>2</v>
      </c>
      <c r="V36" s="38">
        <v>4</v>
      </c>
      <c r="W36" s="38">
        <v>6</v>
      </c>
      <c r="X36" s="38">
        <v>6</v>
      </c>
      <c r="Y36" s="38">
        <v>8</v>
      </c>
      <c r="Z36" s="41">
        <f t="shared" si="5"/>
        <v>70</v>
      </c>
      <c r="AA36" s="38">
        <f t="shared" si="6"/>
        <v>96.25</v>
      </c>
      <c r="AB36" s="42">
        <f t="shared" si="7"/>
        <v>77.875</v>
      </c>
      <c r="AC36" s="38" t="s">
        <v>86</v>
      </c>
      <c r="AD36" s="43"/>
      <c r="AE36" s="43"/>
    </row>
    <row r="37" spans="1:31" s="1" customFormat="1" ht="17.100000000000001" customHeight="1">
      <c r="A37" s="7" t="s">
        <v>80</v>
      </c>
      <c r="B37" s="7" t="s">
        <v>87</v>
      </c>
      <c r="C37" s="7">
        <v>4</v>
      </c>
      <c r="D37" s="7" t="s">
        <v>88</v>
      </c>
      <c r="E37" s="7" t="s">
        <v>50</v>
      </c>
      <c r="F37" s="7">
        <v>100</v>
      </c>
      <c r="G37" s="7">
        <v>100</v>
      </c>
      <c r="H37" s="7">
        <v>100</v>
      </c>
      <c r="I37" s="7">
        <v>100</v>
      </c>
      <c r="J37" s="26">
        <v>95</v>
      </c>
      <c r="K37" s="26">
        <v>95</v>
      </c>
      <c r="L37" s="26">
        <v>95</v>
      </c>
      <c r="M37" s="7">
        <v>100</v>
      </c>
      <c r="N37" s="7">
        <v>100</v>
      </c>
      <c r="O37" s="7">
        <v>100</v>
      </c>
      <c r="P37" s="38">
        <f t="shared" si="4"/>
        <v>98.333333333333329</v>
      </c>
      <c r="Q37" s="38">
        <v>16</v>
      </c>
      <c r="R37" s="38">
        <v>8</v>
      </c>
      <c r="S37" s="38">
        <v>9</v>
      </c>
      <c r="T37" s="38">
        <v>6</v>
      </c>
      <c r="U37" s="38">
        <v>4</v>
      </c>
      <c r="V37" s="38">
        <v>0</v>
      </c>
      <c r="W37" s="38">
        <v>6</v>
      </c>
      <c r="X37" s="38">
        <v>4</v>
      </c>
      <c r="Y37" s="38">
        <v>3</v>
      </c>
      <c r="Z37" s="41">
        <f t="shared" si="5"/>
        <v>56</v>
      </c>
      <c r="AA37" s="38">
        <f t="shared" si="6"/>
        <v>98.333333333333329</v>
      </c>
      <c r="AB37" s="42">
        <f t="shared" si="7"/>
        <v>68.699999999999989</v>
      </c>
      <c r="AC37" s="38" t="s">
        <v>88</v>
      </c>
      <c r="AD37" s="43"/>
      <c r="AE37" s="43"/>
    </row>
    <row r="38" spans="1:31" s="1" customFormat="1" ht="17.100000000000001" customHeight="1">
      <c r="A38" s="7" t="s">
        <v>80</v>
      </c>
      <c r="B38" s="7" t="s">
        <v>89</v>
      </c>
      <c r="C38" s="7">
        <v>5</v>
      </c>
      <c r="D38" s="7" t="s">
        <v>90</v>
      </c>
      <c r="E38" s="7" t="s">
        <v>50</v>
      </c>
      <c r="F38" s="7">
        <v>80</v>
      </c>
      <c r="G38" s="7">
        <v>80</v>
      </c>
      <c r="H38" s="7">
        <v>85</v>
      </c>
      <c r="I38" s="7">
        <v>80</v>
      </c>
      <c r="J38" s="26">
        <v>100</v>
      </c>
      <c r="K38" s="26">
        <v>95</v>
      </c>
      <c r="L38" s="26">
        <v>95</v>
      </c>
      <c r="M38" s="7">
        <v>100</v>
      </c>
      <c r="N38" s="7">
        <v>90</v>
      </c>
      <c r="O38" s="7">
        <v>90</v>
      </c>
      <c r="P38" s="38">
        <f t="shared" si="4"/>
        <v>90.416666666666671</v>
      </c>
      <c r="Q38" s="38">
        <v>12</v>
      </c>
      <c r="R38" s="38">
        <v>5</v>
      </c>
      <c r="S38" s="38">
        <v>9</v>
      </c>
      <c r="T38" s="38">
        <v>0</v>
      </c>
      <c r="U38" s="38">
        <v>4</v>
      </c>
      <c r="V38" s="38">
        <v>2</v>
      </c>
      <c r="W38" s="38">
        <v>3</v>
      </c>
      <c r="X38" s="38">
        <v>1</v>
      </c>
      <c r="Y38" s="38">
        <v>3</v>
      </c>
      <c r="Z38" s="41">
        <f t="shared" si="5"/>
        <v>39</v>
      </c>
      <c r="AA38" s="38">
        <f t="shared" si="6"/>
        <v>90.416666666666671</v>
      </c>
      <c r="AB38" s="42">
        <f t="shared" si="7"/>
        <v>54.424999999999997</v>
      </c>
      <c r="AC38" s="38" t="s">
        <v>90</v>
      </c>
      <c r="AD38" s="43"/>
      <c r="AE38" s="43"/>
    </row>
    <row r="39" spans="1:31" s="1" customFormat="1" ht="17.100000000000001" customHeight="1">
      <c r="A39" s="7" t="s">
        <v>80</v>
      </c>
      <c r="B39" s="7" t="s">
        <v>91</v>
      </c>
      <c r="C39" s="7">
        <v>6</v>
      </c>
      <c r="D39" s="7" t="s">
        <v>92</v>
      </c>
      <c r="E39" s="7" t="s">
        <v>52</v>
      </c>
      <c r="F39" s="7">
        <v>100</v>
      </c>
      <c r="G39" s="7">
        <v>100</v>
      </c>
      <c r="H39" s="7">
        <v>100</v>
      </c>
      <c r="I39" s="7">
        <v>100</v>
      </c>
      <c r="J39" s="26">
        <v>100</v>
      </c>
      <c r="K39" s="26">
        <v>100</v>
      </c>
      <c r="L39" s="26">
        <v>100</v>
      </c>
      <c r="M39" s="7">
        <v>100</v>
      </c>
      <c r="N39" s="7">
        <v>100</v>
      </c>
      <c r="O39" s="7">
        <v>100</v>
      </c>
      <c r="P39" s="38">
        <f t="shared" si="4"/>
        <v>100</v>
      </c>
      <c r="Q39" s="38">
        <v>20</v>
      </c>
      <c r="R39" s="38">
        <v>9</v>
      </c>
      <c r="S39" s="38">
        <v>10</v>
      </c>
      <c r="T39" s="38">
        <v>10</v>
      </c>
      <c r="U39" s="38">
        <v>10</v>
      </c>
      <c r="V39" s="38">
        <v>10</v>
      </c>
      <c r="W39" s="38">
        <v>10</v>
      </c>
      <c r="X39" s="38">
        <v>6</v>
      </c>
      <c r="Y39" s="38">
        <v>9</v>
      </c>
      <c r="Z39" s="41">
        <f t="shared" si="5"/>
        <v>94</v>
      </c>
      <c r="AA39" s="38">
        <f t="shared" si="6"/>
        <v>100</v>
      </c>
      <c r="AB39" s="42">
        <f t="shared" si="7"/>
        <v>95.8</v>
      </c>
      <c r="AC39" s="38" t="s">
        <v>92</v>
      </c>
      <c r="AD39" s="43"/>
      <c r="AE39" s="43"/>
    </row>
    <row r="40" spans="1:31" s="1" customFormat="1" ht="17.100000000000001" customHeight="1">
      <c r="A40" s="7" t="s">
        <v>80</v>
      </c>
      <c r="B40" s="7" t="s">
        <v>93</v>
      </c>
      <c r="C40" s="7">
        <v>7</v>
      </c>
      <c r="D40" s="7" t="s">
        <v>94</v>
      </c>
      <c r="E40" s="7" t="s">
        <v>50</v>
      </c>
      <c r="F40" s="7">
        <v>95</v>
      </c>
      <c r="G40" s="7">
        <v>90</v>
      </c>
      <c r="H40" s="7">
        <v>90</v>
      </c>
      <c r="I40" s="7">
        <v>90</v>
      </c>
      <c r="J40" s="26">
        <v>95</v>
      </c>
      <c r="K40" s="26">
        <v>95</v>
      </c>
      <c r="L40" s="26">
        <v>95</v>
      </c>
      <c r="M40" s="7">
        <v>100</v>
      </c>
      <c r="N40" s="7">
        <v>100</v>
      </c>
      <c r="O40" s="7">
        <v>100</v>
      </c>
      <c r="P40" s="38">
        <f t="shared" si="4"/>
        <v>95.416666666666671</v>
      </c>
      <c r="Q40" s="38">
        <v>20</v>
      </c>
      <c r="R40" s="38">
        <v>8</v>
      </c>
      <c r="S40" s="38">
        <v>9</v>
      </c>
      <c r="T40" s="38">
        <v>10</v>
      </c>
      <c r="U40" s="38">
        <v>4</v>
      </c>
      <c r="V40" s="38">
        <v>8</v>
      </c>
      <c r="W40" s="38">
        <v>2</v>
      </c>
      <c r="X40" s="38">
        <v>1</v>
      </c>
      <c r="Y40" s="38">
        <v>4</v>
      </c>
      <c r="Z40" s="41">
        <f t="shared" si="5"/>
        <v>66</v>
      </c>
      <c r="AA40" s="38">
        <f t="shared" si="6"/>
        <v>95.416666666666671</v>
      </c>
      <c r="AB40" s="42">
        <f t="shared" si="7"/>
        <v>74.824999999999989</v>
      </c>
      <c r="AC40" s="38" t="s">
        <v>94</v>
      </c>
      <c r="AD40" s="43"/>
      <c r="AE40" s="43"/>
    </row>
    <row r="41" spans="1:31" s="1" customFormat="1" ht="17.100000000000001" customHeight="1">
      <c r="A41" s="24" t="s">
        <v>80</v>
      </c>
      <c r="B41" s="7" t="s">
        <v>95</v>
      </c>
      <c r="C41" s="7">
        <v>8</v>
      </c>
      <c r="D41" s="7" t="s">
        <v>96</v>
      </c>
      <c r="E41" s="7" t="s">
        <v>50</v>
      </c>
      <c r="F41" s="7">
        <v>90</v>
      </c>
      <c r="G41" s="7">
        <v>85</v>
      </c>
      <c r="H41" s="7">
        <v>80</v>
      </c>
      <c r="I41" s="7">
        <v>80</v>
      </c>
      <c r="J41" s="26">
        <v>95</v>
      </c>
      <c r="K41" s="26">
        <v>95</v>
      </c>
      <c r="L41" s="26">
        <v>95</v>
      </c>
      <c r="M41" s="7">
        <v>100</v>
      </c>
      <c r="N41" s="7">
        <v>100</v>
      </c>
      <c r="O41" s="7">
        <v>100</v>
      </c>
      <c r="P41" s="38">
        <f t="shared" si="4"/>
        <v>92.916666666666671</v>
      </c>
      <c r="Q41" s="38">
        <v>12</v>
      </c>
      <c r="R41" s="38">
        <v>6</v>
      </c>
      <c r="S41" s="38">
        <v>9</v>
      </c>
      <c r="T41" s="38">
        <v>4</v>
      </c>
      <c r="U41" s="38">
        <v>2</v>
      </c>
      <c r="V41" s="38">
        <v>6</v>
      </c>
      <c r="W41" s="38">
        <v>2</v>
      </c>
      <c r="X41" s="38">
        <v>3</v>
      </c>
      <c r="Y41" s="38">
        <v>3</v>
      </c>
      <c r="Z41" s="41">
        <f t="shared" si="5"/>
        <v>47</v>
      </c>
      <c r="AA41" s="38">
        <f t="shared" si="6"/>
        <v>92.916666666666671</v>
      </c>
      <c r="AB41" s="42">
        <f t="shared" si="7"/>
        <v>60.774999999999999</v>
      </c>
      <c r="AC41" s="38" t="s">
        <v>96</v>
      </c>
      <c r="AD41" s="43"/>
      <c r="AE41" s="43"/>
    </row>
    <row r="42" spans="1:31" s="1" customFormat="1" ht="17.100000000000001" customHeight="1">
      <c r="A42" s="24" t="s">
        <v>80</v>
      </c>
      <c r="B42" s="7" t="s">
        <v>97</v>
      </c>
      <c r="C42" s="7">
        <v>9</v>
      </c>
      <c r="D42" s="7" t="s">
        <v>98</v>
      </c>
      <c r="E42" s="7" t="s">
        <v>50</v>
      </c>
      <c r="F42" s="7">
        <v>90</v>
      </c>
      <c r="G42" s="7">
        <v>85</v>
      </c>
      <c r="H42" s="7">
        <v>90</v>
      </c>
      <c r="I42" s="7">
        <v>90</v>
      </c>
      <c r="J42" s="26">
        <v>90</v>
      </c>
      <c r="K42" s="26">
        <v>95</v>
      </c>
      <c r="L42" s="26">
        <v>95</v>
      </c>
      <c r="M42" s="7">
        <v>100</v>
      </c>
      <c r="N42" s="7">
        <v>100</v>
      </c>
      <c r="O42" s="7">
        <v>100</v>
      </c>
      <c r="P42" s="38">
        <f t="shared" si="4"/>
        <v>94.027777777777771</v>
      </c>
      <c r="Q42" s="38">
        <v>16</v>
      </c>
      <c r="R42" s="38">
        <v>7</v>
      </c>
      <c r="S42" s="38">
        <v>10</v>
      </c>
      <c r="T42" s="38">
        <v>10</v>
      </c>
      <c r="U42" s="38">
        <v>4</v>
      </c>
      <c r="V42" s="38">
        <v>8</v>
      </c>
      <c r="W42" s="38">
        <v>6</v>
      </c>
      <c r="X42" s="38">
        <v>10</v>
      </c>
      <c r="Y42" s="38">
        <v>7</v>
      </c>
      <c r="Z42" s="41">
        <f t="shared" si="5"/>
        <v>78</v>
      </c>
      <c r="AA42" s="38">
        <f t="shared" si="6"/>
        <v>94.027777777777771</v>
      </c>
      <c r="AB42" s="42">
        <f t="shared" si="7"/>
        <v>82.808333333333323</v>
      </c>
      <c r="AC42" s="38" t="s">
        <v>98</v>
      </c>
      <c r="AD42" s="43"/>
      <c r="AE42" s="43"/>
    </row>
    <row r="43" spans="1:31" s="1" customFormat="1" ht="17.100000000000001" customHeight="1">
      <c r="A43" s="24" t="s">
        <v>80</v>
      </c>
      <c r="B43" s="7" t="s">
        <v>99</v>
      </c>
      <c r="C43" s="7">
        <v>10</v>
      </c>
      <c r="D43" s="9" t="s">
        <v>100</v>
      </c>
      <c r="E43" s="7" t="s">
        <v>50</v>
      </c>
      <c r="F43" s="7">
        <v>90</v>
      </c>
      <c r="G43" s="7">
        <v>75</v>
      </c>
      <c r="H43" s="7">
        <v>80</v>
      </c>
      <c r="I43" s="7">
        <v>80</v>
      </c>
      <c r="J43" s="26">
        <v>70</v>
      </c>
      <c r="K43" s="26">
        <v>95</v>
      </c>
      <c r="L43" s="26">
        <v>95</v>
      </c>
      <c r="M43" s="7">
        <v>100</v>
      </c>
      <c r="N43" s="7">
        <v>100</v>
      </c>
      <c r="O43" s="7">
        <v>100</v>
      </c>
      <c r="P43" s="38">
        <f t="shared" si="4"/>
        <v>89.305555555555557</v>
      </c>
      <c r="Q43" s="38">
        <v>12</v>
      </c>
      <c r="R43" s="38">
        <v>7</v>
      </c>
      <c r="S43" s="38">
        <v>10</v>
      </c>
      <c r="T43" s="38">
        <v>0</v>
      </c>
      <c r="U43" s="38">
        <v>2</v>
      </c>
      <c r="V43" s="38">
        <v>4</v>
      </c>
      <c r="W43" s="38">
        <v>5</v>
      </c>
      <c r="X43" s="38">
        <v>9</v>
      </c>
      <c r="Y43" s="38">
        <v>5</v>
      </c>
      <c r="Z43" s="41">
        <f t="shared" si="5"/>
        <v>54</v>
      </c>
      <c r="AA43" s="38">
        <f t="shared" si="6"/>
        <v>89.305555555555557</v>
      </c>
      <c r="AB43" s="42">
        <f t="shared" si="7"/>
        <v>64.591666666666669</v>
      </c>
      <c r="AC43" s="38" t="s">
        <v>100</v>
      </c>
      <c r="AE43" s="43"/>
    </row>
    <row r="44" spans="1:31" s="1" customFormat="1" ht="17.100000000000001" customHeight="1">
      <c r="A44" s="24" t="s">
        <v>80</v>
      </c>
      <c r="B44" s="7" t="s">
        <v>101</v>
      </c>
      <c r="C44" s="7">
        <v>11</v>
      </c>
      <c r="D44" s="7" t="s">
        <v>102</v>
      </c>
      <c r="E44" s="7" t="s">
        <v>50</v>
      </c>
      <c r="F44" s="7">
        <v>80</v>
      </c>
      <c r="G44" s="7">
        <v>85</v>
      </c>
      <c r="H44" s="7">
        <v>85</v>
      </c>
      <c r="I44" s="7">
        <v>80</v>
      </c>
      <c r="J44" s="26">
        <v>95</v>
      </c>
      <c r="K44" s="26">
        <v>95</v>
      </c>
      <c r="L44" s="26">
        <v>95</v>
      </c>
      <c r="M44" s="7">
        <v>100</v>
      </c>
      <c r="N44" s="7">
        <v>100</v>
      </c>
      <c r="O44" s="7">
        <v>100</v>
      </c>
      <c r="P44" s="38">
        <f t="shared" si="4"/>
        <v>92.5</v>
      </c>
      <c r="Q44" s="38">
        <v>12</v>
      </c>
      <c r="R44" s="38">
        <v>5</v>
      </c>
      <c r="S44" s="38">
        <v>5</v>
      </c>
      <c r="T44" s="38">
        <v>0</v>
      </c>
      <c r="U44" s="38">
        <v>4</v>
      </c>
      <c r="V44" s="38">
        <v>2</v>
      </c>
      <c r="W44" s="38">
        <v>0</v>
      </c>
      <c r="X44" s="38">
        <v>1</v>
      </c>
      <c r="Y44" s="38">
        <v>5</v>
      </c>
      <c r="Z44" s="41">
        <f t="shared" si="5"/>
        <v>34</v>
      </c>
      <c r="AA44" s="38">
        <f t="shared" si="6"/>
        <v>92.5</v>
      </c>
      <c r="AB44" s="42">
        <f t="shared" si="7"/>
        <v>51.55</v>
      </c>
      <c r="AC44" s="38" t="s">
        <v>102</v>
      </c>
      <c r="AE44" s="43"/>
    </row>
    <row r="45" spans="1:31" s="1" customFormat="1" ht="17.100000000000001" customHeight="1">
      <c r="A45" s="24" t="s">
        <v>80</v>
      </c>
      <c r="B45" s="7" t="s">
        <v>103</v>
      </c>
      <c r="C45" s="7">
        <v>12</v>
      </c>
      <c r="D45" s="7" t="s">
        <v>104</v>
      </c>
      <c r="E45" s="7" t="s">
        <v>50</v>
      </c>
      <c r="F45" s="20">
        <v>0</v>
      </c>
      <c r="G45" s="20">
        <v>0</v>
      </c>
      <c r="H45" s="20">
        <v>0</v>
      </c>
      <c r="I45" s="20">
        <v>0</v>
      </c>
      <c r="J45" s="26">
        <v>90</v>
      </c>
      <c r="K45" s="26">
        <v>95</v>
      </c>
      <c r="L45" s="26">
        <v>95</v>
      </c>
      <c r="M45" s="20">
        <v>100</v>
      </c>
      <c r="N45" s="20">
        <v>100</v>
      </c>
      <c r="O45" s="20">
        <v>100</v>
      </c>
      <c r="P45" s="38">
        <f t="shared" si="4"/>
        <v>64.444444444444443</v>
      </c>
      <c r="Q45" s="38">
        <v>12</v>
      </c>
      <c r="R45" s="38">
        <v>8</v>
      </c>
      <c r="S45" s="38">
        <v>10</v>
      </c>
      <c r="T45" s="38">
        <v>10</v>
      </c>
      <c r="U45" s="38">
        <v>0</v>
      </c>
      <c r="V45" s="38">
        <v>4</v>
      </c>
      <c r="W45" s="38">
        <v>2</v>
      </c>
      <c r="X45" s="38">
        <v>7</v>
      </c>
      <c r="Y45" s="38">
        <v>2</v>
      </c>
      <c r="Z45" s="41">
        <f t="shared" si="5"/>
        <v>55</v>
      </c>
      <c r="AA45" s="38">
        <f t="shared" si="6"/>
        <v>64.444444444444443</v>
      </c>
      <c r="AB45" s="42">
        <f t="shared" si="7"/>
        <v>57.833333333333329</v>
      </c>
      <c r="AC45" s="38" t="s">
        <v>104</v>
      </c>
      <c r="AE45" s="43"/>
    </row>
    <row r="46" spans="1:31" s="1" customFormat="1" ht="17.100000000000001" customHeight="1">
      <c r="A46" s="24" t="s">
        <v>80</v>
      </c>
      <c r="B46" s="7" t="s">
        <v>105</v>
      </c>
      <c r="C46" s="7">
        <v>13</v>
      </c>
      <c r="D46" s="7" t="s">
        <v>106</v>
      </c>
      <c r="E46" s="7" t="s">
        <v>52</v>
      </c>
      <c r="F46" s="7">
        <v>85</v>
      </c>
      <c r="G46" s="7">
        <v>80</v>
      </c>
      <c r="H46" s="7">
        <v>80</v>
      </c>
      <c r="I46" s="7">
        <v>80</v>
      </c>
      <c r="J46" s="26">
        <v>95</v>
      </c>
      <c r="K46" s="26">
        <v>95</v>
      </c>
      <c r="L46" s="26">
        <v>95</v>
      </c>
      <c r="M46" s="7">
        <v>100</v>
      </c>
      <c r="N46" s="7">
        <v>100</v>
      </c>
      <c r="O46" s="7">
        <v>100</v>
      </c>
      <c r="P46" s="38">
        <f t="shared" si="4"/>
        <v>92.083333333333329</v>
      </c>
      <c r="Q46" s="38">
        <v>12</v>
      </c>
      <c r="R46" s="38">
        <v>8</v>
      </c>
      <c r="S46" s="38">
        <v>10</v>
      </c>
      <c r="T46" s="38">
        <v>10</v>
      </c>
      <c r="U46" s="38">
        <v>2</v>
      </c>
      <c r="V46" s="38">
        <v>2</v>
      </c>
      <c r="W46" s="38">
        <v>2</v>
      </c>
      <c r="X46" s="38">
        <v>4</v>
      </c>
      <c r="Y46" s="38">
        <v>6</v>
      </c>
      <c r="Z46" s="41">
        <f t="shared" si="5"/>
        <v>56</v>
      </c>
      <c r="AA46" s="38">
        <f t="shared" si="6"/>
        <v>92.083333333333329</v>
      </c>
      <c r="AB46" s="42">
        <f t="shared" si="7"/>
        <v>66.824999999999989</v>
      </c>
      <c r="AC46" s="38" t="s">
        <v>106</v>
      </c>
      <c r="AE46" s="43"/>
    </row>
    <row r="47" spans="1:31" s="1" customFormat="1" ht="17.100000000000001" customHeight="1">
      <c r="A47" s="24" t="s">
        <v>80</v>
      </c>
      <c r="B47" s="7" t="s">
        <v>107</v>
      </c>
      <c r="C47" s="7">
        <v>14</v>
      </c>
      <c r="D47" s="7" t="s">
        <v>108</v>
      </c>
      <c r="E47" s="7" t="s">
        <v>52</v>
      </c>
      <c r="F47" s="7">
        <v>80</v>
      </c>
      <c r="G47" s="7">
        <v>80</v>
      </c>
      <c r="H47" s="7">
        <v>80</v>
      </c>
      <c r="I47" s="7">
        <v>75</v>
      </c>
      <c r="J47" s="26">
        <v>90</v>
      </c>
      <c r="K47" s="26">
        <v>95</v>
      </c>
      <c r="L47" s="26">
        <v>95</v>
      </c>
      <c r="M47" s="7">
        <v>100</v>
      </c>
      <c r="N47" s="7">
        <v>100</v>
      </c>
      <c r="O47" s="7">
        <v>100</v>
      </c>
      <c r="P47" s="38">
        <f t="shared" si="4"/>
        <v>90.694444444444443</v>
      </c>
      <c r="Q47" s="38">
        <v>16</v>
      </c>
      <c r="R47" s="38">
        <v>6</v>
      </c>
      <c r="S47" s="38">
        <v>10</v>
      </c>
      <c r="T47" s="38">
        <v>10</v>
      </c>
      <c r="U47" s="38">
        <v>0</v>
      </c>
      <c r="V47" s="38">
        <v>4</v>
      </c>
      <c r="W47" s="38">
        <v>0</v>
      </c>
      <c r="X47" s="38">
        <v>9</v>
      </c>
      <c r="Y47" s="38">
        <v>6</v>
      </c>
      <c r="Z47" s="41">
        <f t="shared" si="5"/>
        <v>61</v>
      </c>
      <c r="AA47" s="38">
        <f t="shared" si="6"/>
        <v>90.694444444444443</v>
      </c>
      <c r="AB47" s="42">
        <f t="shared" si="7"/>
        <v>69.908333333333331</v>
      </c>
      <c r="AC47" s="38" t="s">
        <v>108</v>
      </c>
      <c r="AE47" s="43"/>
    </row>
    <row r="48" spans="1:31" s="1" customFormat="1" ht="17.100000000000001" customHeight="1">
      <c r="A48" s="24" t="s">
        <v>80</v>
      </c>
      <c r="B48" s="7" t="s">
        <v>109</v>
      </c>
      <c r="C48" s="7">
        <v>15</v>
      </c>
      <c r="D48" s="7" t="s">
        <v>110</v>
      </c>
      <c r="E48" s="7" t="s">
        <v>50</v>
      </c>
      <c r="F48" s="7">
        <v>95</v>
      </c>
      <c r="G48" s="7">
        <v>90</v>
      </c>
      <c r="H48" s="7">
        <v>90</v>
      </c>
      <c r="I48" s="7">
        <v>90</v>
      </c>
      <c r="J48" s="26">
        <v>95</v>
      </c>
      <c r="K48" s="26">
        <v>95</v>
      </c>
      <c r="L48" s="26">
        <v>95</v>
      </c>
      <c r="M48" s="7">
        <v>100</v>
      </c>
      <c r="N48" s="7">
        <v>100</v>
      </c>
      <c r="O48" s="7">
        <v>100</v>
      </c>
      <c r="P48" s="38">
        <f t="shared" si="4"/>
        <v>95.416666666666671</v>
      </c>
      <c r="Q48" s="38">
        <v>16</v>
      </c>
      <c r="R48" s="38">
        <v>8</v>
      </c>
      <c r="S48" s="38">
        <v>9</v>
      </c>
      <c r="T48" s="38">
        <v>10</v>
      </c>
      <c r="U48" s="38">
        <v>2</v>
      </c>
      <c r="V48" s="38">
        <v>0</v>
      </c>
      <c r="W48" s="38">
        <v>6</v>
      </c>
      <c r="X48" s="38">
        <v>5</v>
      </c>
      <c r="Y48" s="38">
        <v>4</v>
      </c>
      <c r="Z48" s="41">
        <f t="shared" si="5"/>
        <v>60</v>
      </c>
      <c r="AA48" s="38">
        <f t="shared" si="6"/>
        <v>95.416666666666671</v>
      </c>
      <c r="AB48" s="42">
        <f t="shared" si="7"/>
        <v>70.625</v>
      </c>
      <c r="AC48" s="38" t="s">
        <v>110</v>
      </c>
      <c r="AE48" s="43"/>
    </row>
    <row r="49" spans="1:31" s="1" customFormat="1" ht="17.100000000000001" customHeight="1">
      <c r="A49" s="24" t="s">
        <v>80</v>
      </c>
      <c r="B49" s="7" t="s">
        <v>111</v>
      </c>
      <c r="C49" s="7">
        <v>16</v>
      </c>
      <c r="D49" s="7" t="s">
        <v>112</v>
      </c>
      <c r="E49" s="7" t="s">
        <v>50</v>
      </c>
      <c r="F49" s="7">
        <v>95</v>
      </c>
      <c r="G49" s="7">
        <v>85</v>
      </c>
      <c r="H49" s="7">
        <v>80</v>
      </c>
      <c r="I49" s="7">
        <v>80</v>
      </c>
      <c r="J49" s="26">
        <v>100</v>
      </c>
      <c r="K49" s="26">
        <v>95</v>
      </c>
      <c r="L49" s="26">
        <v>95</v>
      </c>
      <c r="M49" s="7">
        <v>100</v>
      </c>
      <c r="N49" s="7">
        <v>100</v>
      </c>
      <c r="O49" s="7">
        <v>100</v>
      </c>
      <c r="P49" s="38">
        <f t="shared" si="4"/>
        <v>93.8888888888889</v>
      </c>
      <c r="Q49" s="38">
        <v>16</v>
      </c>
      <c r="R49" s="38">
        <v>7</v>
      </c>
      <c r="S49" s="38">
        <v>9</v>
      </c>
      <c r="T49" s="38">
        <v>10</v>
      </c>
      <c r="U49" s="38">
        <v>2</v>
      </c>
      <c r="V49" s="38">
        <v>0</v>
      </c>
      <c r="W49" s="38">
        <v>0</v>
      </c>
      <c r="X49" s="38">
        <v>0</v>
      </c>
      <c r="Y49" s="38">
        <v>4</v>
      </c>
      <c r="Z49" s="41">
        <f t="shared" si="5"/>
        <v>48</v>
      </c>
      <c r="AA49" s="38">
        <f t="shared" si="6"/>
        <v>93.8888888888889</v>
      </c>
      <c r="AB49" s="42">
        <f t="shared" si="7"/>
        <v>61.766666666666666</v>
      </c>
      <c r="AC49" s="38" t="s">
        <v>112</v>
      </c>
      <c r="AE49" s="43"/>
    </row>
    <row r="50" spans="1:31" s="1" customFormat="1" ht="17.100000000000001" customHeight="1">
      <c r="A50" s="24" t="s">
        <v>80</v>
      </c>
      <c r="B50" s="7" t="s">
        <v>113</v>
      </c>
      <c r="C50" s="7">
        <v>17</v>
      </c>
      <c r="D50" s="7" t="s">
        <v>114</v>
      </c>
      <c r="E50" s="7" t="s">
        <v>50</v>
      </c>
      <c r="F50" s="7">
        <v>90</v>
      </c>
      <c r="G50" s="7">
        <v>85</v>
      </c>
      <c r="H50" s="7">
        <v>80</v>
      </c>
      <c r="I50" s="7">
        <v>80</v>
      </c>
      <c r="J50" s="26">
        <v>95</v>
      </c>
      <c r="K50" s="26">
        <v>95</v>
      </c>
      <c r="L50" s="26">
        <v>95</v>
      </c>
      <c r="M50" s="7">
        <v>100</v>
      </c>
      <c r="N50" s="7">
        <v>100</v>
      </c>
      <c r="O50" s="7">
        <v>100</v>
      </c>
      <c r="P50" s="38">
        <f t="shared" si="4"/>
        <v>92.916666666666671</v>
      </c>
      <c r="Q50" s="38">
        <v>16</v>
      </c>
      <c r="R50" s="38">
        <v>7</v>
      </c>
      <c r="S50" s="38">
        <v>9</v>
      </c>
      <c r="T50" s="38">
        <v>10</v>
      </c>
      <c r="U50" s="38">
        <v>0</v>
      </c>
      <c r="V50" s="38">
        <v>2</v>
      </c>
      <c r="W50" s="38">
        <v>2</v>
      </c>
      <c r="X50" s="38">
        <v>3</v>
      </c>
      <c r="Y50" s="38">
        <v>4</v>
      </c>
      <c r="Z50" s="41">
        <f t="shared" si="5"/>
        <v>53</v>
      </c>
      <c r="AA50" s="38">
        <f t="shared" si="6"/>
        <v>92.916666666666671</v>
      </c>
      <c r="AB50" s="42">
        <f t="shared" si="7"/>
        <v>64.974999999999994</v>
      </c>
      <c r="AC50" s="38" t="s">
        <v>114</v>
      </c>
      <c r="AE50" s="43"/>
    </row>
    <row r="51" spans="1:31" s="1" customFormat="1" ht="17.100000000000001" customHeight="1">
      <c r="A51" s="24" t="s">
        <v>80</v>
      </c>
      <c r="B51" s="7" t="s">
        <v>115</v>
      </c>
      <c r="C51" s="7">
        <v>18</v>
      </c>
      <c r="D51" s="7" t="s">
        <v>116</v>
      </c>
      <c r="E51" s="7" t="s">
        <v>50</v>
      </c>
      <c r="F51" s="7">
        <v>80</v>
      </c>
      <c r="G51" s="7">
        <v>80</v>
      </c>
      <c r="H51" s="7">
        <v>80</v>
      </c>
      <c r="I51" s="7">
        <v>75</v>
      </c>
      <c r="J51" s="26">
        <v>95</v>
      </c>
      <c r="K51" s="26">
        <v>95</v>
      </c>
      <c r="L51" s="26">
        <v>95</v>
      </c>
      <c r="M51" s="7">
        <v>100</v>
      </c>
      <c r="N51" s="7">
        <v>100</v>
      </c>
      <c r="O51" s="7">
        <v>100</v>
      </c>
      <c r="P51" s="38">
        <f t="shared" si="4"/>
        <v>91.25</v>
      </c>
      <c r="Q51" s="38">
        <v>16</v>
      </c>
      <c r="R51" s="38">
        <v>6</v>
      </c>
      <c r="S51" s="38">
        <v>10</v>
      </c>
      <c r="T51" s="38">
        <v>10</v>
      </c>
      <c r="U51" s="38">
        <v>6</v>
      </c>
      <c r="V51" s="38">
        <v>8</v>
      </c>
      <c r="W51" s="38">
        <v>0</v>
      </c>
      <c r="X51" s="38">
        <v>5</v>
      </c>
      <c r="Y51" s="38">
        <v>4</v>
      </c>
      <c r="Z51" s="41">
        <f t="shared" si="5"/>
        <v>65</v>
      </c>
      <c r="AA51" s="38">
        <f t="shared" si="6"/>
        <v>91.25</v>
      </c>
      <c r="AB51" s="42">
        <f t="shared" si="7"/>
        <v>72.875</v>
      </c>
      <c r="AC51" s="38" t="s">
        <v>116</v>
      </c>
      <c r="AE51" s="43"/>
    </row>
    <row r="52" spans="1:31" s="1" customFormat="1" ht="17.100000000000001" customHeight="1">
      <c r="A52" s="24" t="s">
        <v>80</v>
      </c>
      <c r="B52" s="7" t="s">
        <v>117</v>
      </c>
      <c r="C52" s="7">
        <v>19</v>
      </c>
      <c r="D52" s="7" t="s">
        <v>118</v>
      </c>
      <c r="E52" s="7" t="s">
        <v>50</v>
      </c>
      <c r="F52" s="7">
        <v>75</v>
      </c>
      <c r="G52" s="7">
        <v>85</v>
      </c>
      <c r="H52" s="7">
        <v>80</v>
      </c>
      <c r="I52" s="7">
        <v>80</v>
      </c>
      <c r="J52" s="26">
        <v>95</v>
      </c>
      <c r="K52" s="26">
        <v>95</v>
      </c>
      <c r="L52" s="26">
        <v>95</v>
      </c>
      <c r="M52" s="7">
        <v>100</v>
      </c>
      <c r="N52" s="7">
        <v>100</v>
      </c>
      <c r="O52" s="7">
        <v>100</v>
      </c>
      <c r="P52" s="38">
        <f t="shared" si="4"/>
        <v>91.666666666666671</v>
      </c>
      <c r="Q52" s="38">
        <v>12</v>
      </c>
      <c r="R52" s="38">
        <v>7</v>
      </c>
      <c r="S52" s="38">
        <v>10</v>
      </c>
      <c r="T52" s="38">
        <v>2</v>
      </c>
      <c r="U52" s="38">
        <v>0</v>
      </c>
      <c r="V52" s="38">
        <v>6</v>
      </c>
      <c r="W52" s="38">
        <v>6</v>
      </c>
      <c r="X52" s="38">
        <v>3</v>
      </c>
      <c r="Y52" s="38">
        <v>3</v>
      </c>
      <c r="Z52" s="41">
        <f t="shared" si="5"/>
        <v>49</v>
      </c>
      <c r="AA52" s="38">
        <f t="shared" si="6"/>
        <v>91.666666666666671</v>
      </c>
      <c r="AB52" s="42">
        <f t="shared" si="7"/>
        <v>61.8</v>
      </c>
      <c r="AC52" s="38" t="s">
        <v>118</v>
      </c>
      <c r="AE52" s="43"/>
    </row>
    <row r="53" spans="1:31" s="1" customFormat="1" ht="17.100000000000001" customHeight="1">
      <c r="A53" s="24" t="s">
        <v>80</v>
      </c>
      <c r="B53" s="7" t="s">
        <v>119</v>
      </c>
      <c r="C53" s="7">
        <v>20</v>
      </c>
      <c r="D53" s="7" t="s">
        <v>120</v>
      </c>
      <c r="E53" s="7" t="s">
        <v>50</v>
      </c>
      <c r="F53" s="7">
        <v>90</v>
      </c>
      <c r="G53" s="7">
        <v>85</v>
      </c>
      <c r="H53" s="7">
        <v>80</v>
      </c>
      <c r="I53" s="7">
        <v>90</v>
      </c>
      <c r="J53" s="26">
        <v>100</v>
      </c>
      <c r="K53" s="26">
        <v>95</v>
      </c>
      <c r="L53" s="26">
        <v>95</v>
      </c>
      <c r="M53" s="7">
        <v>100</v>
      </c>
      <c r="N53" s="7">
        <v>100</v>
      </c>
      <c r="O53" s="7">
        <v>100</v>
      </c>
      <c r="P53" s="38">
        <f t="shared" si="4"/>
        <v>94.305555555555557</v>
      </c>
      <c r="Q53" s="38">
        <v>20</v>
      </c>
      <c r="R53" s="38">
        <v>9</v>
      </c>
      <c r="S53" s="38">
        <v>10</v>
      </c>
      <c r="T53" s="38">
        <v>8</v>
      </c>
      <c r="U53" s="38">
        <v>6</v>
      </c>
      <c r="V53" s="38">
        <v>6</v>
      </c>
      <c r="W53" s="38">
        <v>6</v>
      </c>
      <c r="X53" s="38">
        <v>10</v>
      </c>
      <c r="Y53" s="38">
        <v>8</v>
      </c>
      <c r="Z53" s="41">
        <f t="shared" si="5"/>
        <v>83</v>
      </c>
      <c r="AA53" s="38">
        <f t="shared" si="6"/>
        <v>94.305555555555557</v>
      </c>
      <c r="AB53" s="42">
        <f t="shared" si="7"/>
        <v>86.391666666666666</v>
      </c>
      <c r="AC53" s="38" t="s">
        <v>120</v>
      </c>
    </row>
    <row r="54" spans="1:31" s="1" customFormat="1" ht="17.100000000000001" customHeight="1">
      <c r="A54" s="24" t="s">
        <v>80</v>
      </c>
      <c r="B54" s="7" t="s">
        <v>121</v>
      </c>
      <c r="C54" s="7">
        <v>21</v>
      </c>
      <c r="D54" s="7" t="s">
        <v>122</v>
      </c>
      <c r="E54" s="7" t="s">
        <v>50</v>
      </c>
      <c r="F54" s="7">
        <v>80</v>
      </c>
      <c r="G54" s="7">
        <v>80</v>
      </c>
      <c r="H54" s="7">
        <v>80</v>
      </c>
      <c r="I54" s="7">
        <v>80</v>
      </c>
      <c r="J54" s="26">
        <v>85</v>
      </c>
      <c r="K54" s="26">
        <v>95</v>
      </c>
      <c r="L54" s="26">
        <v>95</v>
      </c>
      <c r="M54" s="7">
        <v>100</v>
      </c>
      <c r="N54" s="7">
        <v>100</v>
      </c>
      <c r="O54" s="7">
        <v>100</v>
      </c>
      <c r="P54" s="38">
        <f t="shared" si="4"/>
        <v>90.555555555555557</v>
      </c>
      <c r="Q54" s="38">
        <v>12</v>
      </c>
      <c r="R54" s="38">
        <v>7</v>
      </c>
      <c r="S54" s="38">
        <v>10</v>
      </c>
      <c r="T54" s="38">
        <v>10</v>
      </c>
      <c r="U54" s="38">
        <v>4</v>
      </c>
      <c r="V54" s="38">
        <v>0</v>
      </c>
      <c r="W54" s="38">
        <v>0</v>
      </c>
      <c r="X54" s="38">
        <v>4</v>
      </c>
      <c r="Y54" s="38">
        <v>4</v>
      </c>
      <c r="Z54" s="41">
        <f t="shared" si="5"/>
        <v>51</v>
      </c>
      <c r="AA54" s="38">
        <f t="shared" si="6"/>
        <v>90.555555555555557</v>
      </c>
      <c r="AB54" s="42">
        <f t="shared" si="7"/>
        <v>62.86666666666666</v>
      </c>
      <c r="AC54" s="38" t="s">
        <v>122</v>
      </c>
    </row>
    <row r="55" spans="1:31" s="1" customFormat="1" ht="17.100000000000001" customHeight="1">
      <c r="A55" s="24" t="s">
        <v>80</v>
      </c>
      <c r="B55" s="7" t="s">
        <v>123</v>
      </c>
      <c r="C55" s="7">
        <v>22</v>
      </c>
      <c r="D55" s="7" t="s">
        <v>124</v>
      </c>
      <c r="E55" s="7" t="s">
        <v>50</v>
      </c>
      <c r="F55" s="7">
        <v>80</v>
      </c>
      <c r="G55" s="7">
        <v>80</v>
      </c>
      <c r="H55" s="7">
        <v>85</v>
      </c>
      <c r="I55" s="7">
        <v>95</v>
      </c>
      <c r="J55" s="26">
        <v>85</v>
      </c>
      <c r="K55" s="26">
        <v>95</v>
      </c>
      <c r="L55" s="26">
        <v>95</v>
      </c>
      <c r="M55" s="7">
        <v>100</v>
      </c>
      <c r="N55" s="7">
        <v>100</v>
      </c>
      <c r="O55" s="7">
        <v>100</v>
      </c>
      <c r="P55" s="38">
        <f t="shared" si="4"/>
        <v>92.222222222222229</v>
      </c>
      <c r="Q55" s="38">
        <v>16</v>
      </c>
      <c r="R55" s="38">
        <v>7</v>
      </c>
      <c r="S55" s="38">
        <v>9</v>
      </c>
      <c r="T55" s="38">
        <v>10</v>
      </c>
      <c r="U55" s="38">
        <v>0</v>
      </c>
      <c r="V55" s="38">
        <v>4</v>
      </c>
      <c r="W55" s="38">
        <v>2</v>
      </c>
      <c r="X55" s="38">
        <v>2</v>
      </c>
      <c r="Y55" s="38">
        <v>3</v>
      </c>
      <c r="Z55" s="41">
        <f t="shared" si="5"/>
        <v>53</v>
      </c>
      <c r="AA55" s="38">
        <f t="shared" si="6"/>
        <v>92.222222222222229</v>
      </c>
      <c r="AB55" s="42">
        <f t="shared" si="7"/>
        <v>64.766666666666666</v>
      </c>
      <c r="AC55" s="38" t="s">
        <v>124</v>
      </c>
    </row>
    <row r="56" spans="1:31" s="1" customFormat="1" ht="17.100000000000001" customHeight="1">
      <c r="A56" s="24" t="s">
        <v>80</v>
      </c>
      <c r="B56" s="7" t="s">
        <v>125</v>
      </c>
      <c r="C56" s="7">
        <v>23</v>
      </c>
      <c r="D56" s="7" t="s">
        <v>126</v>
      </c>
      <c r="E56" s="7" t="s">
        <v>50</v>
      </c>
      <c r="F56" s="7">
        <v>85</v>
      </c>
      <c r="G56" s="7">
        <v>100</v>
      </c>
      <c r="H56" s="7">
        <v>85</v>
      </c>
      <c r="I56" s="7">
        <v>95</v>
      </c>
      <c r="J56" s="26">
        <v>80</v>
      </c>
      <c r="K56" s="26">
        <v>95</v>
      </c>
      <c r="L56" s="26">
        <v>95</v>
      </c>
      <c r="M56" s="7">
        <v>100</v>
      </c>
      <c r="N56" s="7">
        <v>100</v>
      </c>
      <c r="O56" s="7">
        <v>100</v>
      </c>
      <c r="P56" s="38">
        <f t="shared" si="4"/>
        <v>93.75</v>
      </c>
      <c r="Q56" s="38">
        <v>16</v>
      </c>
      <c r="R56" s="38">
        <v>8</v>
      </c>
      <c r="S56" s="38">
        <v>9</v>
      </c>
      <c r="T56" s="38">
        <v>10</v>
      </c>
      <c r="U56" s="38">
        <v>4</v>
      </c>
      <c r="V56" s="38">
        <v>4</v>
      </c>
      <c r="W56" s="38">
        <v>2</v>
      </c>
      <c r="X56" s="38">
        <v>6</v>
      </c>
      <c r="Y56" s="38">
        <v>4</v>
      </c>
      <c r="Z56" s="41">
        <f t="shared" si="5"/>
        <v>63</v>
      </c>
      <c r="AA56" s="38">
        <f t="shared" si="6"/>
        <v>93.75</v>
      </c>
      <c r="AB56" s="42">
        <f t="shared" si="7"/>
        <v>72.224999999999994</v>
      </c>
      <c r="AC56" s="38" t="s">
        <v>126</v>
      </c>
    </row>
    <row r="57" spans="1:31" s="1" customFormat="1" ht="17.100000000000001" customHeight="1">
      <c r="A57" s="24" t="s">
        <v>80</v>
      </c>
      <c r="B57" s="7" t="s">
        <v>127</v>
      </c>
      <c r="C57" s="7">
        <v>24</v>
      </c>
      <c r="D57" s="7" t="s">
        <v>128</v>
      </c>
      <c r="E57" s="7" t="s">
        <v>52</v>
      </c>
      <c r="F57" s="7">
        <v>95</v>
      </c>
      <c r="G57" s="7">
        <v>90</v>
      </c>
      <c r="H57" s="7">
        <v>90</v>
      </c>
      <c r="I57" s="7">
        <v>100</v>
      </c>
      <c r="J57" s="26">
        <v>100</v>
      </c>
      <c r="K57" s="26">
        <v>100</v>
      </c>
      <c r="L57" s="26">
        <v>100</v>
      </c>
      <c r="M57" s="7">
        <v>100</v>
      </c>
      <c r="N57" s="7">
        <v>100</v>
      </c>
      <c r="O57" s="7">
        <v>100</v>
      </c>
      <c r="P57" s="38">
        <f t="shared" si="4"/>
        <v>97.916666666666671</v>
      </c>
      <c r="Q57" s="38">
        <v>20</v>
      </c>
      <c r="R57" s="38">
        <v>8</v>
      </c>
      <c r="S57" s="38">
        <v>9</v>
      </c>
      <c r="T57" s="38">
        <v>10</v>
      </c>
      <c r="U57" s="38">
        <v>0</v>
      </c>
      <c r="V57" s="38">
        <v>6</v>
      </c>
      <c r="W57" s="38">
        <v>6</v>
      </c>
      <c r="X57" s="38">
        <v>3</v>
      </c>
      <c r="Y57" s="38">
        <v>4</v>
      </c>
      <c r="Z57" s="41">
        <f t="shared" si="5"/>
        <v>66</v>
      </c>
      <c r="AA57" s="38">
        <f t="shared" si="6"/>
        <v>97.916666666666671</v>
      </c>
      <c r="AB57" s="42">
        <f t="shared" si="7"/>
        <v>75.574999999999989</v>
      </c>
      <c r="AC57" s="38" t="s">
        <v>128</v>
      </c>
    </row>
    <row r="58" spans="1:31" s="1" customFormat="1" ht="17.100000000000001" customHeight="1">
      <c r="A58" s="24" t="s">
        <v>80</v>
      </c>
      <c r="B58" s="7" t="s">
        <v>129</v>
      </c>
      <c r="C58" s="7">
        <v>25</v>
      </c>
      <c r="D58" s="7" t="s">
        <v>130</v>
      </c>
      <c r="E58" s="7" t="s">
        <v>50</v>
      </c>
      <c r="F58" s="7">
        <v>100</v>
      </c>
      <c r="G58" s="7">
        <v>100</v>
      </c>
      <c r="H58" s="7">
        <v>100</v>
      </c>
      <c r="I58" s="7">
        <v>90</v>
      </c>
      <c r="J58" s="26">
        <v>90</v>
      </c>
      <c r="K58" s="26">
        <v>95</v>
      </c>
      <c r="L58" s="26">
        <v>95</v>
      </c>
      <c r="M58" s="7">
        <v>100</v>
      </c>
      <c r="N58" s="7">
        <v>100</v>
      </c>
      <c r="O58" s="7">
        <v>100</v>
      </c>
      <c r="P58" s="38">
        <f t="shared" si="4"/>
        <v>96.944444444444443</v>
      </c>
      <c r="Q58" s="38">
        <v>16</v>
      </c>
      <c r="R58" s="38">
        <v>6</v>
      </c>
      <c r="S58" s="38">
        <v>10</v>
      </c>
      <c r="T58" s="38">
        <v>10</v>
      </c>
      <c r="U58" s="38">
        <v>8</v>
      </c>
      <c r="V58" s="38">
        <v>6</v>
      </c>
      <c r="W58" s="38">
        <v>6</v>
      </c>
      <c r="X58" s="38">
        <v>9</v>
      </c>
      <c r="Y58" s="38">
        <v>5</v>
      </c>
      <c r="Z58" s="41">
        <f t="shared" si="5"/>
        <v>76</v>
      </c>
      <c r="AA58" s="38">
        <f t="shared" si="6"/>
        <v>96.944444444444443</v>
      </c>
      <c r="AB58" s="42">
        <f t="shared" si="7"/>
        <v>82.283333333333331</v>
      </c>
      <c r="AC58" s="38" t="s">
        <v>130</v>
      </c>
    </row>
    <row r="59" spans="1:31" s="1" customFormat="1" ht="17.100000000000001" customHeight="1">
      <c r="A59" s="24" t="s">
        <v>80</v>
      </c>
      <c r="B59" s="7" t="s">
        <v>131</v>
      </c>
      <c r="C59" s="7">
        <v>26</v>
      </c>
      <c r="D59" s="7" t="s">
        <v>132</v>
      </c>
      <c r="E59" s="7" t="s">
        <v>50</v>
      </c>
      <c r="F59" s="7">
        <v>80</v>
      </c>
      <c r="G59" s="7">
        <v>85</v>
      </c>
      <c r="H59" s="7">
        <v>80</v>
      </c>
      <c r="I59" s="7">
        <v>85</v>
      </c>
      <c r="J59" s="26">
        <v>85</v>
      </c>
      <c r="K59" s="26">
        <v>95</v>
      </c>
      <c r="L59" s="26">
        <v>95</v>
      </c>
      <c r="M59" s="7">
        <v>100</v>
      </c>
      <c r="N59" s="7">
        <v>100</v>
      </c>
      <c r="O59" s="7">
        <v>100</v>
      </c>
      <c r="P59" s="38">
        <f t="shared" si="4"/>
        <v>91.3888888888889</v>
      </c>
      <c r="Q59" s="38">
        <v>16</v>
      </c>
      <c r="R59" s="38">
        <v>4</v>
      </c>
      <c r="S59" s="38">
        <v>4</v>
      </c>
      <c r="T59" s="38">
        <v>10</v>
      </c>
      <c r="U59" s="38">
        <v>0</v>
      </c>
      <c r="V59" s="38">
        <v>4</v>
      </c>
      <c r="W59" s="38">
        <v>0</v>
      </c>
      <c r="X59" s="38">
        <v>6</v>
      </c>
      <c r="Y59" s="38">
        <v>5</v>
      </c>
      <c r="Z59" s="41">
        <f t="shared" si="5"/>
        <v>49</v>
      </c>
      <c r="AA59" s="38">
        <f t="shared" si="6"/>
        <v>91.3888888888889</v>
      </c>
      <c r="AB59" s="42">
        <f t="shared" si="7"/>
        <v>61.716666666666669</v>
      </c>
      <c r="AC59" s="38" t="s">
        <v>132</v>
      </c>
    </row>
    <row r="60" spans="1:31" s="1" customFormat="1" ht="17.100000000000001" customHeight="1">
      <c r="A60" s="7" t="s">
        <v>80</v>
      </c>
      <c r="B60" s="7" t="s">
        <v>133</v>
      </c>
      <c r="C60" s="7">
        <v>27</v>
      </c>
      <c r="D60" s="7" t="s">
        <v>134</v>
      </c>
      <c r="E60" s="7" t="s">
        <v>52</v>
      </c>
      <c r="F60" s="7">
        <v>90</v>
      </c>
      <c r="G60" s="7">
        <v>90</v>
      </c>
      <c r="H60" s="7">
        <v>90</v>
      </c>
      <c r="I60" s="7">
        <v>90</v>
      </c>
      <c r="J60" s="26">
        <v>95</v>
      </c>
      <c r="K60" s="26">
        <v>95</v>
      </c>
      <c r="L60" s="26">
        <v>95</v>
      </c>
      <c r="M60" s="7">
        <v>100</v>
      </c>
      <c r="N60" s="7">
        <v>100</v>
      </c>
      <c r="O60" s="7">
        <v>100</v>
      </c>
      <c r="P60" s="38">
        <f t="shared" si="4"/>
        <v>95</v>
      </c>
      <c r="Q60" s="38">
        <v>12</v>
      </c>
      <c r="R60" s="38">
        <v>7</v>
      </c>
      <c r="S60" s="38">
        <v>10</v>
      </c>
      <c r="T60" s="38">
        <v>0</v>
      </c>
      <c r="U60" s="38">
        <v>0</v>
      </c>
      <c r="V60" s="38">
        <v>0</v>
      </c>
      <c r="W60" s="38">
        <v>7</v>
      </c>
      <c r="X60" s="38">
        <v>7</v>
      </c>
      <c r="Y60" s="38">
        <v>5</v>
      </c>
      <c r="Z60" s="41">
        <f t="shared" si="5"/>
        <v>48</v>
      </c>
      <c r="AA60" s="38">
        <f t="shared" si="6"/>
        <v>95</v>
      </c>
      <c r="AB60" s="42">
        <f t="shared" si="7"/>
        <v>62.099999999999994</v>
      </c>
      <c r="AC60" s="38" t="s">
        <v>134</v>
      </c>
    </row>
    <row r="61" spans="1:31" s="1" customFormat="1" ht="17.100000000000001" customHeight="1">
      <c r="A61" s="7" t="s">
        <v>80</v>
      </c>
      <c r="B61" s="7" t="s">
        <v>135</v>
      </c>
      <c r="C61" s="7">
        <v>28</v>
      </c>
      <c r="D61" s="7" t="s">
        <v>136</v>
      </c>
      <c r="E61" s="7" t="s">
        <v>50</v>
      </c>
      <c r="F61" s="7">
        <v>100</v>
      </c>
      <c r="G61" s="7">
        <v>100</v>
      </c>
      <c r="H61" s="7">
        <v>90</v>
      </c>
      <c r="I61" s="7">
        <v>90</v>
      </c>
      <c r="J61" s="26">
        <v>95</v>
      </c>
      <c r="K61" s="26">
        <v>95</v>
      </c>
      <c r="L61" s="26">
        <v>95</v>
      </c>
      <c r="M61" s="7">
        <v>100</v>
      </c>
      <c r="N61" s="7">
        <v>100</v>
      </c>
      <c r="O61" s="7">
        <v>100</v>
      </c>
      <c r="P61" s="38">
        <f t="shared" si="4"/>
        <v>96.666666666666671</v>
      </c>
      <c r="Q61" s="38">
        <v>20</v>
      </c>
      <c r="R61" s="38">
        <v>7</v>
      </c>
      <c r="S61" s="38">
        <v>10</v>
      </c>
      <c r="T61" s="38">
        <v>6</v>
      </c>
      <c r="U61" s="38">
        <v>4</v>
      </c>
      <c r="V61" s="38">
        <v>6</v>
      </c>
      <c r="W61" s="38">
        <v>6</v>
      </c>
      <c r="X61" s="38">
        <v>3</v>
      </c>
      <c r="Y61" s="38">
        <v>4</v>
      </c>
      <c r="Z61" s="41">
        <f t="shared" si="5"/>
        <v>66</v>
      </c>
      <c r="AA61" s="38">
        <f t="shared" si="6"/>
        <v>96.666666666666671</v>
      </c>
      <c r="AB61" s="42">
        <f t="shared" si="7"/>
        <v>75.199999999999989</v>
      </c>
      <c r="AC61" s="38" t="s">
        <v>136</v>
      </c>
    </row>
    <row r="62" spans="1:31" s="1" customFormat="1" ht="17.100000000000001" customHeight="1">
      <c r="A62" s="7" t="s">
        <v>80</v>
      </c>
      <c r="B62" s="7" t="s">
        <v>137</v>
      </c>
      <c r="C62" s="7">
        <v>29</v>
      </c>
      <c r="D62" s="7" t="s">
        <v>138</v>
      </c>
      <c r="E62" s="7" t="s">
        <v>50</v>
      </c>
      <c r="F62" s="7">
        <v>75</v>
      </c>
      <c r="G62" s="7">
        <v>85</v>
      </c>
      <c r="H62" s="7">
        <v>100</v>
      </c>
      <c r="I62" s="7">
        <v>95</v>
      </c>
      <c r="J62" s="26">
        <v>90</v>
      </c>
      <c r="K62" s="26">
        <v>95</v>
      </c>
      <c r="L62" s="26">
        <v>95</v>
      </c>
      <c r="M62" s="7">
        <v>100</v>
      </c>
      <c r="N62" s="7">
        <v>100</v>
      </c>
      <c r="O62" s="7">
        <v>100</v>
      </c>
      <c r="P62" s="38">
        <f t="shared" si="4"/>
        <v>94.027777777777771</v>
      </c>
      <c r="Q62" s="38">
        <v>12</v>
      </c>
      <c r="R62" s="38">
        <v>9</v>
      </c>
      <c r="S62" s="38">
        <v>10</v>
      </c>
      <c r="T62" s="38">
        <v>10</v>
      </c>
      <c r="U62" s="38">
        <v>6</v>
      </c>
      <c r="V62" s="38">
        <v>6</v>
      </c>
      <c r="W62" s="38">
        <v>0</v>
      </c>
      <c r="X62" s="38">
        <v>6</v>
      </c>
      <c r="Y62" s="38">
        <v>4</v>
      </c>
      <c r="Z62" s="41">
        <f t="shared" si="5"/>
        <v>63</v>
      </c>
      <c r="AA62" s="38">
        <f t="shared" si="6"/>
        <v>94.027777777777771</v>
      </c>
      <c r="AB62" s="42">
        <f t="shared" si="7"/>
        <v>72.308333333333323</v>
      </c>
      <c r="AC62" s="38" t="s">
        <v>138</v>
      </c>
    </row>
    <row r="63" spans="1:31" s="1" customFormat="1" ht="17.100000000000001" customHeight="1">
      <c r="A63" s="7" t="s">
        <v>139</v>
      </c>
      <c r="B63" s="7" t="s">
        <v>140</v>
      </c>
      <c r="C63" s="7"/>
      <c r="D63" s="7" t="s">
        <v>141</v>
      </c>
      <c r="E63" s="7" t="s">
        <v>50</v>
      </c>
      <c r="F63" s="7">
        <v>85</v>
      </c>
      <c r="G63" s="7">
        <v>90</v>
      </c>
      <c r="H63" s="7">
        <v>0</v>
      </c>
      <c r="I63" s="7">
        <v>90</v>
      </c>
      <c r="J63" s="26">
        <v>95</v>
      </c>
      <c r="K63" s="26">
        <v>95</v>
      </c>
      <c r="L63" s="26">
        <v>95</v>
      </c>
      <c r="M63" s="7">
        <v>100</v>
      </c>
      <c r="N63" s="7">
        <v>100</v>
      </c>
      <c r="O63" s="7">
        <v>100</v>
      </c>
      <c r="P63" s="38">
        <f t="shared" si="4"/>
        <v>87.083333333333329</v>
      </c>
      <c r="Q63" s="38">
        <v>20</v>
      </c>
      <c r="R63" s="38">
        <v>6</v>
      </c>
      <c r="S63" s="38">
        <v>10</v>
      </c>
      <c r="T63" s="38">
        <v>10</v>
      </c>
      <c r="U63" s="38">
        <v>0</v>
      </c>
      <c r="V63" s="38">
        <v>0</v>
      </c>
      <c r="W63" s="38">
        <v>3</v>
      </c>
      <c r="X63" s="38">
        <v>7</v>
      </c>
      <c r="Y63" s="38">
        <v>10</v>
      </c>
      <c r="Z63" s="41">
        <f t="shared" si="5"/>
        <v>66</v>
      </c>
      <c r="AA63" s="38">
        <f t="shared" si="6"/>
        <v>87.083333333333329</v>
      </c>
      <c r="AB63" s="42">
        <f t="shared" si="7"/>
        <v>72.324999999999989</v>
      </c>
      <c r="AC63" s="38" t="s">
        <v>141</v>
      </c>
    </row>
    <row r="64" spans="1:31" s="1" customFormat="1" ht="17.100000000000001" customHeight="1">
      <c r="A64" s="7" t="s">
        <v>139</v>
      </c>
      <c r="B64" s="7" t="s">
        <v>142</v>
      </c>
      <c r="C64" s="7"/>
      <c r="D64" s="7" t="s">
        <v>143</v>
      </c>
      <c r="E64" s="7" t="s">
        <v>50</v>
      </c>
      <c r="F64" s="7">
        <v>90</v>
      </c>
      <c r="G64" s="7">
        <v>90</v>
      </c>
      <c r="H64" s="7">
        <v>90</v>
      </c>
      <c r="I64" s="7">
        <v>90</v>
      </c>
      <c r="J64" s="26">
        <v>100</v>
      </c>
      <c r="K64" s="26">
        <v>95</v>
      </c>
      <c r="L64" s="26">
        <v>95</v>
      </c>
      <c r="M64" s="7">
        <v>100</v>
      </c>
      <c r="N64" s="7">
        <v>100</v>
      </c>
      <c r="O64" s="7">
        <v>100</v>
      </c>
      <c r="P64" s="38">
        <f t="shared" si="4"/>
        <v>95.555555555555557</v>
      </c>
      <c r="Q64" s="38">
        <v>15</v>
      </c>
      <c r="R64" s="38">
        <v>5</v>
      </c>
      <c r="S64" s="38">
        <v>9</v>
      </c>
      <c r="T64" s="38">
        <v>10</v>
      </c>
      <c r="U64" s="38">
        <v>2</v>
      </c>
      <c r="V64" s="38">
        <v>8</v>
      </c>
      <c r="W64" s="38">
        <v>7</v>
      </c>
      <c r="X64" s="38">
        <v>1</v>
      </c>
      <c r="Y64" s="38">
        <v>7</v>
      </c>
      <c r="Z64" s="41">
        <f t="shared" si="5"/>
        <v>64</v>
      </c>
      <c r="AA64" s="38">
        <f t="shared" si="6"/>
        <v>95.555555555555557</v>
      </c>
      <c r="AB64" s="42">
        <f t="shared" si="7"/>
        <v>73.466666666666669</v>
      </c>
      <c r="AC64" s="38" t="s">
        <v>143</v>
      </c>
    </row>
    <row r="65" spans="1:29" s="1" customFormat="1" ht="17.100000000000001" customHeight="1">
      <c r="A65" s="7" t="s">
        <v>139</v>
      </c>
      <c r="B65" s="7" t="s">
        <v>144</v>
      </c>
      <c r="C65" s="7"/>
      <c r="D65" s="7" t="s">
        <v>145</v>
      </c>
      <c r="E65" s="7" t="s">
        <v>50</v>
      </c>
      <c r="F65" s="7">
        <v>90</v>
      </c>
      <c r="G65" s="7">
        <v>85</v>
      </c>
      <c r="H65" s="7">
        <v>85</v>
      </c>
      <c r="I65" s="7">
        <v>85</v>
      </c>
      <c r="J65" s="26">
        <v>90</v>
      </c>
      <c r="K65" s="26">
        <v>95</v>
      </c>
      <c r="L65" s="26">
        <v>95</v>
      </c>
      <c r="M65" s="7">
        <v>100</v>
      </c>
      <c r="N65" s="7">
        <v>100</v>
      </c>
      <c r="O65" s="7">
        <v>100</v>
      </c>
      <c r="P65" s="38">
        <f t="shared" si="4"/>
        <v>93.194444444444443</v>
      </c>
      <c r="Q65" s="38">
        <v>15</v>
      </c>
      <c r="R65" s="38">
        <v>7</v>
      </c>
      <c r="S65" s="38">
        <v>9</v>
      </c>
      <c r="T65" s="38">
        <v>10</v>
      </c>
      <c r="U65" s="38">
        <v>4</v>
      </c>
      <c r="V65" s="38">
        <v>6</v>
      </c>
      <c r="W65" s="38">
        <v>6</v>
      </c>
      <c r="X65" s="38">
        <v>3</v>
      </c>
      <c r="Y65" s="38">
        <v>5</v>
      </c>
      <c r="Z65" s="41">
        <f t="shared" si="5"/>
        <v>65</v>
      </c>
      <c r="AA65" s="38">
        <f t="shared" si="6"/>
        <v>93.194444444444443</v>
      </c>
      <c r="AB65" s="42">
        <f t="shared" si="7"/>
        <v>73.458333333333329</v>
      </c>
      <c r="AC65" s="38" t="s">
        <v>145</v>
      </c>
    </row>
    <row r="66" spans="1:29" s="1" customFormat="1" ht="17.100000000000001" customHeight="1">
      <c r="A66" s="7" t="s">
        <v>139</v>
      </c>
      <c r="B66" s="7" t="s">
        <v>146</v>
      </c>
      <c r="C66" s="7"/>
      <c r="D66" s="7" t="s">
        <v>147</v>
      </c>
      <c r="E66" s="7" t="s">
        <v>50</v>
      </c>
      <c r="F66" s="7">
        <v>90</v>
      </c>
      <c r="G66" s="7">
        <v>90</v>
      </c>
      <c r="H66" s="7">
        <v>90</v>
      </c>
      <c r="I66" s="7">
        <v>90</v>
      </c>
      <c r="J66" s="26">
        <v>95</v>
      </c>
      <c r="K66" s="26">
        <v>95</v>
      </c>
      <c r="L66" s="26">
        <v>95</v>
      </c>
      <c r="M66" s="7">
        <v>100</v>
      </c>
      <c r="N66" s="7">
        <v>100</v>
      </c>
      <c r="O66" s="7">
        <v>100</v>
      </c>
      <c r="P66" s="38">
        <f t="shared" si="4"/>
        <v>95</v>
      </c>
      <c r="Q66" s="38">
        <v>20</v>
      </c>
      <c r="R66" s="38">
        <v>7</v>
      </c>
      <c r="S66" s="38">
        <v>9</v>
      </c>
      <c r="T66" s="38">
        <v>0</v>
      </c>
      <c r="U66" s="38">
        <v>0</v>
      </c>
      <c r="V66" s="38">
        <v>8</v>
      </c>
      <c r="W66" s="38">
        <v>8</v>
      </c>
      <c r="X66" s="38">
        <v>10</v>
      </c>
      <c r="Y66" s="38">
        <v>7</v>
      </c>
      <c r="Z66" s="41">
        <f t="shared" si="5"/>
        <v>69</v>
      </c>
      <c r="AA66" s="38">
        <f t="shared" si="6"/>
        <v>95</v>
      </c>
      <c r="AB66" s="42">
        <f t="shared" si="7"/>
        <v>76.8</v>
      </c>
      <c r="AC66" s="38" t="s">
        <v>147</v>
      </c>
    </row>
    <row r="67" spans="1:29" s="1" customFormat="1" ht="17.100000000000001" customHeight="1">
      <c r="A67" s="7" t="s">
        <v>139</v>
      </c>
      <c r="B67" s="7" t="s">
        <v>148</v>
      </c>
      <c r="C67" s="7"/>
      <c r="D67" s="7" t="s">
        <v>149</v>
      </c>
      <c r="E67" s="7" t="s">
        <v>50</v>
      </c>
      <c r="F67" s="7">
        <v>95</v>
      </c>
      <c r="G67" s="7">
        <v>100</v>
      </c>
      <c r="H67" s="7">
        <v>95</v>
      </c>
      <c r="I67" s="7">
        <v>95</v>
      </c>
      <c r="J67" s="26">
        <v>100</v>
      </c>
      <c r="K67" s="26">
        <v>95</v>
      </c>
      <c r="L67" s="26">
        <v>95</v>
      </c>
      <c r="M67" s="7">
        <v>100</v>
      </c>
      <c r="N67" s="7">
        <v>100</v>
      </c>
      <c r="O67" s="7">
        <v>100</v>
      </c>
      <c r="P67" s="38">
        <f t="shared" si="4"/>
        <v>97.6388888888889</v>
      </c>
      <c r="Q67" s="38">
        <v>16</v>
      </c>
      <c r="R67" s="38">
        <v>6</v>
      </c>
      <c r="S67" s="38">
        <v>10</v>
      </c>
      <c r="T67" s="38">
        <v>10</v>
      </c>
      <c r="U67" s="38">
        <v>2</v>
      </c>
      <c r="V67" s="38">
        <v>6</v>
      </c>
      <c r="W67" s="38">
        <v>6</v>
      </c>
      <c r="X67" s="38">
        <v>1</v>
      </c>
      <c r="Y67" s="38">
        <v>5</v>
      </c>
      <c r="Z67" s="41">
        <f t="shared" si="5"/>
        <v>62</v>
      </c>
      <c r="AA67" s="38">
        <f t="shared" si="6"/>
        <v>97.6388888888889</v>
      </c>
      <c r="AB67" s="42">
        <f t="shared" si="7"/>
        <v>72.691666666666663</v>
      </c>
      <c r="AC67" s="38" t="s">
        <v>149</v>
      </c>
    </row>
    <row r="68" spans="1:29" s="1" customFormat="1" ht="17.100000000000001" customHeight="1">
      <c r="A68" s="7" t="s">
        <v>139</v>
      </c>
      <c r="B68" s="7" t="s">
        <v>150</v>
      </c>
      <c r="C68" s="7"/>
      <c r="D68" s="7" t="s">
        <v>151</v>
      </c>
      <c r="E68" s="7" t="s">
        <v>52</v>
      </c>
      <c r="F68" s="7">
        <v>95</v>
      </c>
      <c r="G68" s="7">
        <v>100</v>
      </c>
      <c r="H68" s="7">
        <v>95</v>
      </c>
      <c r="I68" s="7">
        <v>85</v>
      </c>
      <c r="J68" s="26">
        <v>90</v>
      </c>
      <c r="K68" s="26">
        <v>95</v>
      </c>
      <c r="L68" s="26">
        <v>95</v>
      </c>
      <c r="M68" s="7">
        <v>100</v>
      </c>
      <c r="N68" s="7">
        <v>100</v>
      </c>
      <c r="O68" s="7">
        <v>100</v>
      </c>
      <c r="P68" s="38">
        <f t="shared" si="4"/>
        <v>95.694444444444443</v>
      </c>
      <c r="Q68" s="38">
        <v>16</v>
      </c>
      <c r="R68" s="38">
        <v>5</v>
      </c>
      <c r="S68" s="38">
        <v>10</v>
      </c>
      <c r="T68" s="38">
        <v>10</v>
      </c>
      <c r="U68" s="38">
        <v>6</v>
      </c>
      <c r="V68" s="38">
        <v>8</v>
      </c>
      <c r="W68" s="38">
        <v>7</v>
      </c>
      <c r="X68" s="38">
        <v>3</v>
      </c>
      <c r="Y68" s="38">
        <v>7</v>
      </c>
      <c r="Z68" s="41">
        <f t="shared" si="5"/>
        <v>72</v>
      </c>
      <c r="AA68" s="38">
        <f t="shared" si="6"/>
        <v>95.694444444444443</v>
      </c>
      <c r="AB68" s="42">
        <f t="shared" si="7"/>
        <v>79.108333333333334</v>
      </c>
      <c r="AC68" s="38" t="s">
        <v>151</v>
      </c>
    </row>
    <row r="69" spans="1:29" s="1" customFormat="1" ht="17.100000000000001" customHeight="1">
      <c r="A69" s="7" t="s">
        <v>139</v>
      </c>
      <c r="B69" s="7" t="s">
        <v>152</v>
      </c>
      <c r="C69" s="7"/>
      <c r="D69" s="7" t="s">
        <v>153</v>
      </c>
      <c r="E69" s="7" t="s">
        <v>50</v>
      </c>
      <c r="F69" s="7">
        <v>90</v>
      </c>
      <c r="G69" s="7">
        <v>90</v>
      </c>
      <c r="H69" s="7">
        <v>90</v>
      </c>
      <c r="I69" s="7">
        <v>85</v>
      </c>
      <c r="J69" s="26">
        <v>100</v>
      </c>
      <c r="K69" s="26">
        <v>100</v>
      </c>
      <c r="L69" s="26">
        <v>100</v>
      </c>
      <c r="M69" s="7">
        <v>100</v>
      </c>
      <c r="N69" s="7">
        <v>100</v>
      </c>
      <c r="O69" s="7">
        <v>100</v>
      </c>
      <c r="P69" s="38">
        <f t="shared" si="4"/>
        <v>96.25</v>
      </c>
      <c r="Q69" s="38">
        <v>16</v>
      </c>
      <c r="R69" s="38">
        <v>7</v>
      </c>
      <c r="S69" s="38">
        <v>8</v>
      </c>
      <c r="T69" s="38">
        <v>10</v>
      </c>
      <c r="U69" s="38">
        <v>0</v>
      </c>
      <c r="V69" s="38">
        <v>8</v>
      </c>
      <c r="W69" s="38">
        <v>2</v>
      </c>
      <c r="X69" s="38">
        <v>10</v>
      </c>
      <c r="Y69" s="38">
        <v>7</v>
      </c>
      <c r="Z69" s="41">
        <f t="shared" si="5"/>
        <v>68</v>
      </c>
      <c r="AA69" s="38">
        <f t="shared" si="6"/>
        <v>96.25</v>
      </c>
      <c r="AB69" s="42">
        <f t="shared" si="7"/>
        <v>76.474999999999994</v>
      </c>
      <c r="AC69" s="38" t="s">
        <v>153</v>
      </c>
    </row>
    <row r="70" spans="1:29" s="1" customFormat="1" ht="17.100000000000001" customHeight="1">
      <c r="A70" s="7" t="s">
        <v>139</v>
      </c>
      <c r="B70" s="7" t="s">
        <v>154</v>
      </c>
      <c r="C70" s="7"/>
      <c r="D70" s="7" t="s">
        <v>155</v>
      </c>
      <c r="E70" s="7" t="s">
        <v>50</v>
      </c>
      <c r="F70" s="7">
        <v>85</v>
      </c>
      <c r="G70" s="7">
        <v>85</v>
      </c>
      <c r="H70" s="7">
        <v>90</v>
      </c>
      <c r="I70" s="7">
        <v>90</v>
      </c>
      <c r="J70" s="26">
        <v>95</v>
      </c>
      <c r="K70" s="26">
        <v>95</v>
      </c>
      <c r="L70" s="26">
        <v>95</v>
      </c>
      <c r="M70" s="7">
        <v>100</v>
      </c>
      <c r="N70" s="7">
        <v>100</v>
      </c>
      <c r="O70" s="7">
        <v>100</v>
      </c>
      <c r="P70" s="38">
        <f t="shared" si="4"/>
        <v>94.166666666666671</v>
      </c>
      <c r="Q70" s="38">
        <v>16</v>
      </c>
      <c r="R70" s="38">
        <v>0</v>
      </c>
      <c r="S70" s="38">
        <v>9</v>
      </c>
      <c r="T70" s="38">
        <v>10</v>
      </c>
      <c r="U70" s="38">
        <v>6</v>
      </c>
      <c r="V70" s="38">
        <v>6</v>
      </c>
      <c r="W70" s="38">
        <v>0</v>
      </c>
      <c r="X70" s="38">
        <v>10</v>
      </c>
      <c r="Y70" s="38">
        <v>5</v>
      </c>
      <c r="Z70" s="41">
        <f t="shared" si="5"/>
        <v>62</v>
      </c>
      <c r="AA70" s="38">
        <f t="shared" si="6"/>
        <v>94.166666666666671</v>
      </c>
      <c r="AB70" s="42">
        <f t="shared" si="7"/>
        <v>71.650000000000006</v>
      </c>
      <c r="AC70" s="38" t="s">
        <v>155</v>
      </c>
    </row>
    <row r="71" spans="1:29" s="1" customFormat="1" ht="17.100000000000001" customHeight="1">
      <c r="A71" s="7" t="s">
        <v>139</v>
      </c>
      <c r="B71" s="7" t="s">
        <v>156</v>
      </c>
      <c r="C71" s="7"/>
      <c r="D71" s="9" t="s">
        <v>157</v>
      </c>
      <c r="E71" s="7" t="s">
        <v>52</v>
      </c>
      <c r="F71" s="7">
        <v>100</v>
      </c>
      <c r="G71" s="7">
        <v>100</v>
      </c>
      <c r="H71" s="7">
        <v>100</v>
      </c>
      <c r="I71" s="7">
        <v>95</v>
      </c>
      <c r="J71" s="26">
        <v>95</v>
      </c>
      <c r="K71" s="26">
        <v>95</v>
      </c>
      <c r="L71" s="26">
        <v>95</v>
      </c>
      <c r="M71" s="7">
        <v>100</v>
      </c>
      <c r="N71" s="7">
        <v>100</v>
      </c>
      <c r="O71" s="7">
        <v>100</v>
      </c>
      <c r="P71" s="38">
        <f t="shared" si="4"/>
        <v>97.916666666666671</v>
      </c>
      <c r="Q71" s="38">
        <v>20</v>
      </c>
      <c r="R71" s="38">
        <v>9</v>
      </c>
      <c r="S71" s="38">
        <v>10</v>
      </c>
      <c r="T71" s="38">
        <v>10</v>
      </c>
      <c r="U71" s="38">
        <v>6</v>
      </c>
      <c r="V71" s="38">
        <v>8</v>
      </c>
      <c r="W71" s="38">
        <v>6</v>
      </c>
      <c r="X71" s="38">
        <v>10</v>
      </c>
      <c r="Y71" s="38">
        <v>8</v>
      </c>
      <c r="Z71" s="41">
        <f t="shared" si="5"/>
        <v>87</v>
      </c>
      <c r="AA71" s="38">
        <f t="shared" si="6"/>
        <v>97.916666666666671</v>
      </c>
      <c r="AB71" s="42">
        <f t="shared" si="7"/>
        <v>90.275000000000006</v>
      </c>
      <c r="AC71" s="38" t="s">
        <v>157</v>
      </c>
    </row>
    <row r="72" spans="1:29" s="1" customFormat="1" ht="17.100000000000001" customHeight="1">
      <c r="A72" s="7" t="s">
        <v>139</v>
      </c>
      <c r="B72" s="7" t="s">
        <v>158</v>
      </c>
      <c r="C72" s="7"/>
      <c r="D72" s="7" t="s">
        <v>159</v>
      </c>
      <c r="E72" s="7" t="s">
        <v>50</v>
      </c>
      <c r="F72" s="7">
        <v>95</v>
      </c>
      <c r="G72" s="7">
        <v>95</v>
      </c>
      <c r="H72" s="7">
        <v>0</v>
      </c>
      <c r="I72" s="7">
        <v>90</v>
      </c>
      <c r="J72" s="26">
        <v>90</v>
      </c>
      <c r="K72" s="26">
        <v>95</v>
      </c>
      <c r="L72" s="26">
        <v>95</v>
      </c>
      <c r="M72" s="7">
        <v>100</v>
      </c>
      <c r="N72" s="7">
        <v>100</v>
      </c>
      <c r="O72" s="7">
        <v>100</v>
      </c>
      <c r="P72" s="38">
        <f t="shared" si="4"/>
        <v>87.777777777777771</v>
      </c>
      <c r="Q72" s="38">
        <v>12</v>
      </c>
      <c r="R72" s="38">
        <v>6</v>
      </c>
      <c r="S72" s="38">
        <v>10</v>
      </c>
      <c r="T72" s="38">
        <v>10</v>
      </c>
      <c r="U72" s="38">
        <v>4</v>
      </c>
      <c r="V72" s="38">
        <v>2</v>
      </c>
      <c r="W72" s="38">
        <v>2</v>
      </c>
      <c r="X72" s="38">
        <v>10</v>
      </c>
      <c r="Y72" s="38">
        <v>6</v>
      </c>
      <c r="Z72" s="41">
        <f t="shared" si="5"/>
        <v>62</v>
      </c>
      <c r="AA72" s="38">
        <f t="shared" si="6"/>
        <v>87.777777777777771</v>
      </c>
      <c r="AB72" s="42">
        <f t="shared" si="7"/>
        <v>69.733333333333334</v>
      </c>
      <c r="AC72" s="38" t="s">
        <v>159</v>
      </c>
    </row>
    <row r="73" spans="1:29" s="1" customFormat="1" ht="17.100000000000001" customHeight="1">
      <c r="A73" s="7" t="s">
        <v>139</v>
      </c>
      <c r="B73" s="7" t="s">
        <v>160</v>
      </c>
      <c r="C73" s="7"/>
      <c r="D73" s="7" t="s">
        <v>161</v>
      </c>
      <c r="E73" s="7" t="s">
        <v>50</v>
      </c>
      <c r="F73" s="7">
        <v>95</v>
      </c>
      <c r="G73" s="7">
        <v>100</v>
      </c>
      <c r="H73" s="7">
        <v>90</v>
      </c>
      <c r="I73" s="7">
        <v>95</v>
      </c>
      <c r="J73" s="26">
        <v>90</v>
      </c>
      <c r="K73" s="26">
        <v>95</v>
      </c>
      <c r="L73" s="26">
        <v>95</v>
      </c>
      <c r="M73" s="7">
        <v>100</v>
      </c>
      <c r="N73" s="7">
        <v>100</v>
      </c>
      <c r="O73" s="7">
        <v>100</v>
      </c>
      <c r="P73" s="38">
        <f t="shared" si="4"/>
        <v>96.1111111111111</v>
      </c>
      <c r="Q73" s="38">
        <v>16</v>
      </c>
      <c r="R73" s="38">
        <v>6</v>
      </c>
      <c r="S73" s="38">
        <v>8</v>
      </c>
      <c r="T73" s="38">
        <v>10</v>
      </c>
      <c r="U73" s="38">
        <v>4</v>
      </c>
      <c r="V73" s="38">
        <v>6</v>
      </c>
      <c r="W73" s="38">
        <v>0</v>
      </c>
      <c r="X73" s="38">
        <v>5</v>
      </c>
      <c r="Y73" s="38">
        <v>5</v>
      </c>
      <c r="Z73" s="41">
        <f t="shared" si="5"/>
        <v>60</v>
      </c>
      <c r="AA73" s="38">
        <f t="shared" si="6"/>
        <v>96.1111111111111</v>
      </c>
      <c r="AB73" s="42">
        <f t="shared" si="7"/>
        <v>70.833333333333329</v>
      </c>
      <c r="AC73" s="38" t="s">
        <v>161</v>
      </c>
    </row>
    <row r="74" spans="1:29" s="1" customFormat="1" ht="17.100000000000001" customHeight="1">
      <c r="A74" s="7" t="s">
        <v>139</v>
      </c>
      <c r="B74" s="7" t="s">
        <v>162</v>
      </c>
      <c r="C74" s="7"/>
      <c r="D74" s="7" t="s">
        <v>163</v>
      </c>
      <c r="E74" s="7" t="s">
        <v>50</v>
      </c>
      <c r="F74" s="7">
        <v>100</v>
      </c>
      <c r="G74" s="7">
        <v>90</v>
      </c>
      <c r="H74" s="7">
        <v>85</v>
      </c>
      <c r="I74" s="7">
        <v>85</v>
      </c>
      <c r="J74" s="26">
        <v>90</v>
      </c>
      <c r="K74" s="26">
        <v>95</v>
      </c>
      <c r="L74" s="26">
        <v>95</v>
      </c>
      <c r="M74" s="1">
        <v>90</v>
      </c>
      <c r="N74" s="7">
        <v>100</v>
      </c>
      <c r="O74" s="7">
        <v>100</v>
      </c>
      <c r="P74" s="38">
        <f t="shared" si="4"/>
        <v>93.333333333333329</v>
      </c>
      <c r="Q74" s="38">
        <v>12</v>
      </c>
      <c r="R74" s="38">
        <v>7</v>
      </c>
      <c r="S74" s="38">
        <v>10</v>
      </c>
      <c r="T74" s="38">
        <v>10</v>
      </c>
      <c r="U74" s="38">
        <v>0</v>
      </c>
      <c r="V74" s="38">
        <v>6</v>
      </c>
      <c r="W74" s="38">
        <v>4</v>
      </c>
      <c r="X74" s="38">
        <v>6</v>
      </c>
      <c r="Y74" s="38">
        <v>5</v>
      </c>
      <c r="Z74" s="41">
        <f t="shared" si="5"/>
        <v>60</v>
      </c>
      <c r="AA74" s="38">
        <f t="shared" si="6"/>
        <v>93.333333333333329</v>
      </c>
      <c r="AB74" s="42">
        <f t="shared" si="7"/>
        <v>70</v>
      </c>
      <c r="AC74" s="38" t="s">
        <v>163</v>
      </c>
    </row>
    <row r="75" spans="1:29" s="1" customFormat="1" ht="17.100000000000001" customHeight="1">
      <c r="A75" s="7" t="s">
        <v>139</v>
      </c>
      <c r="B75" s="7" t="s">
        <v>164</v>
      </c>
      <c r="C75" s="7"/>
      <c r="D75" s="7" t="s">
        <v>165</v>
      </c>
      <c r="E75" s="7" t="s">
        <v>50</v>
      </c>
      <c r="F75" s="7">
        <v>95</v>
      </c>
      <c r="G75" s="7">
        <v>100</v>
      </c>
      <c r="H75" s="7">
        <v>100</v>
      </c>
      <c r="I75" s="7">
        <v>95</v>
      </c>
      <c r="J75" s="26">
        <v>90</v>
      </c>
      <c r="K75" s="26">
        <v>95</v>
      </c>
      <c r="L75" s="26">
        <v>95</v>
      </c>
      <c r="M75" s="1">
        <v>100</v>
      </c>
      <c r="N75" s="7">
        <v>100</v>
      </c>
      <c r="O75" s="7">
        <v>100</v>
      </c>
      <c r="P75" s="38">
        <f t="shared" si="4"/>
        <v>96.944444444444443</v>
      </c>
      <c r="Q75" s="38">
        <v>16</v>
      </c>
      <c r="R75" s="38">
        <v>7</v>
      </c>
      <c r="S75" s="38">
        <v>9</v>
      </c>
      <c r="T75" s="38">
        <v>10</v>
      </c>
      <c r="U75" s="38">
        <v>0</v>
      </c>
      <c r="V75" s="38">
        <v>6</v>
      </c>
      <c r="W75" s="38">
        <v>8</v>
      </c>
      <c r="X75" s="38">
        <v>6</v>
      </c>
      <c r="Y75" s="38">
        <v>5</v>
      </c>
      <c r="Z75" s="41">
        <f t="shared" si="5"/>
        <v>67</v>
      </c>
      <c r="AA75" s="38">
        <f t="shared" si="6"/>
        <v>96.944444444444443</v>
      </c>
      <c r="AB75" s="42">
        <f t="shared" si="7"/>
        <v>75.983333333333334</v>
      </c>
      <c r="AC75" s="38" t="s">
        <v>165</v>
      </c>
    </row>
    <row r="76" spans="1:29" s="1" customFormat="1" ht="17.100000000000001" customHeight="1">
      <c r="A76" s="7" t="s">
        <v>139</v>
      </c>
      <c r="B76" s="7" t="s">
        <v>166</v>
      </c>
      <c r="C76" s="7"/>
      <c r="D76" s="7" t="s">
        <v>167</v>
      </c>
      <c r="E76" s="7" t="s">
        <v>50</v>
      </c>
      <c r="F76" s="7">
        <v>95</v>
      </c>
      <c r="G76" s="7">
        <v>85</v>
      </c>
      <c r="H76" s="7">
        <v>85</v>
      </c>
      <c r="I76" s="7">
        <v>90</v>
      </c>
      <c r="J76" s="26">
        <v>100</v>
      </c>
      <c r="K76" s="26">
        <v>95</v>
      </c>
      <c r="L76" s="26">
        <v>100</v>
      </c>
      <c r="M76" s="1">
        <v>100</v>
      </c>
      <c r="N76" s="7">
        <v>100</v>
      </c>
      <c r="O76" s="7">
        <v>100</v>
      </c>
      <c r="P76" s="38">
        <f t="shared" si="4"/>
        <v>95.694444444444443</v>
      </c>
      <c r="Q76" s="38">
        <v>16</v>
      </c>
      <c r="R76" s="38">
        <v>7</v>
      </c>
      <c r="S76" s="38">
        <v>9</v>
      </c>
      <c r="T76" s="38">
        <v>10</v>
      </c>
      <c r="U76" s="38">
        <v>2</v>
      </c>
      <c r="V76" s="38">
        <v>8</v>
      </c>
      <c r="W76" s="38">
        <v>0</v>
      </c>
      <c r="X76" s="38">
        <v>5</v>
      </c>
      <c r="Y76" s="38">
        <v>5</v>
      </c>
      <c r="Z76" s="41">
        <f t="shared" si="5"/>
        <v>62</v>
      </c>
      <c r="AA76" s="38">
        <f t="shared" si="6"/>
        <v>95.694444444444443</v>
      </c>
      <c r="AB76" s="42">
        <f t="shared" si="7"/>
        <v>72.108333333333334</v>
      </c>
      <c r="AC76" s="38" t="s">
        <v>167</v>
      </c>
    </row>
    <row r="77" spans="1:29" s="1" customFormat="1" ht="17.100000000000001" customHeight="1">
      <c r="A77" s="7" t="s">
        <v>139</v>
      </c>
      <c r="B77" s="7" t="s">
        <v>168</v>
      </c>
      <c r="C77" s="7"/>
      <c r="D77" s="7" t="s">
        <v>169</v>
      </c>
      <c r="E77" s="7" t="s">
        <v>50</v>
      </c>
      <c r="F77" s="7">
        <v>95</v>
      </c>
      <c r="G77" s="7">
        <v>90</v>
      </c>
      <c r="H77" s="7">
        <v>85</v>
      </c>
      <c r="I77" s="7">
        <v>90</v>
      </c>
      <c r="J77" s="26">
        <v>95</v>
      </c>
      <c r="K77" s="26">
        <v>95</v>
      </c>
      <c r="L77" s="26">
        <v>95</v>
      </c>
      <c r="M77" s="1">
        <v>100</v>
      </c>
      <c r="N77" s="7">
        <v>100</v>
      </c>
      <c r="O77" s="7">
        <v>100</v>
      </c>
      <c r="P77" s="38">
        <f t="shared" si="4"/>
        <v>95</v>
      </c>
      <c r="Q77" s="38">
        <v>16</v>
      </c>
      <c r="R77" s="38">
        <v>10</v>
      </c>
      <c r="S77" s="38">
        <v>10</v>
      </c>
      <c r="T77" s="38">
        <v>10</v>
      </c>
      <c r="U77" s="38">
        <v>6</v>
      </c>
      <c r="V77" s="38">
        <v>8</v>
      </c>
      <c r="W77" s="38">
        <v>8</v>
      </c>
      <c r="X77" s="38">
        <v>6</v>
      </c>
      <c r="Y77" s="38">
        <v>4</v>
      </c>
      <c r="Z77" s="41">
        <f t="shared" si="5"/>
        <v>78</v>
      </c>
      <c r="AA77" s="38">
        <f t="shared" si="6"/>
        <v>95</v>
      </c>
      <c r="AB77" s="42">
        <f t="shared" si="7"/>
        <v>83.1</v>
      </c>
      <c r="AC77" s="38" t="s">
        <v>169</v>
      </c>
    </row>
    <row r="78" spans="1:29" s="1" customFormat="1" ht="17.100000000000001" customHeight="1">
      <c r="A78" s="7" t="s">
        <v>139</v>
      </c>
      <c r="B78" s="7" t="s">
        <v>170</v>
      </c>
      <c r="C78" s="7"/>
      <c r="D78" s="7" t="s">
        <v>171</v>
      </c>
      <c r="E78" s="7" t="s">
        <v>50</v>
      </c>
      <c r="F78" s="7">
        <v>85</v>
      </c>
      <c r="G78" s="7">
        <v>90</v>
      </c>
      <c r="H78" s="7">
        <v>85</v>
      </c>
      <c r="I78" s="7">
        <v>80</v>
      </c>
      <c r="J78" s="26">
        <v>85</v>
      </c>
      <c r="K78" s="26">
        <v>100</v>
      </c>
      <c r="L78" s="26">
        <v>95</v>
      </c>
      <c r="M78" s="1">
        <v>90</v>
      </c>
      <c r="N78" s="7">
        <v>100</v>
      </c>
      <c r="O78" s="7">
        <v>100</v>
      </c>
      <c r="P78" s="38">
        <f t="shared" si="4"/>
        <v>91.666666666666671</v>
      </c>
      <c r="Q78" s="38">
        <v>8</v>
      </c>
      <c r="R78" s="38">
        <v>7</v>
      </c>
      <c r="S78" s="38">
        <v>10</v>
      </c>
      <c r="T78" s="38">
        <v>4</v>
      </c>
      <c r="U78" s="38">
        <v>4</v>
      </c>
      <c r="V78" s="38">
        <v>8</v>
      </c>
      <c r="W78" s="38">
        <v>0</v>
      </c>
      <c r="X78" s="38">
        <v>2</v>
      </c>
      <c r="Y78" s="38">
        <v>4</v>
      </c>
      <c r="Z78" s="41">
        <f t="shared" si="5"/>
        <v>47</v>
      </c>
      <c r="AA78" s="38">
        <f t="shared" si="6"/>
        <v>91.666666666666671</v>
      </c>
      <c r="AB78" s="42">
        <f t="shared" si="7"/>
        <v>60.4</v>
      </c>
      <c r="AC78" s="38" t="s">
        <v>171</v>
      </c>
    </row>
    <row r="79" spans="1:29" s="1" customFormat="1" ht="17.100000000000001" customHeight="1">
      <c r="A79" s="7" t="s">
        <v>139</v>
      </c>
      <c r="B79" s="7" t="s">
        <v>172</v>
      </c>
      <c r="C79" s="7"/>
      <c r="D79" s="7" t="s">
        <v>173</v>
      </c>
      <c r="E79" s="7" t="s">
        <v>50</v>
      </c>
      <c r="F79" s="7">
        <v>85</v>
      </c>
      <c r="G79" s="7">
        <v>85</v>
      </c>
      <c r="H79" s="7">
        <v>85</v>
      </c>
      <c r="I79" s="7">
        <v>80</v>
      </c>
      <c r="J79" s="26">
        <v>90</v>
      </c>
      <c r="K79" s="26">
        <v>95</v>
      </c>
      <c r="L79" s="26">
        <v>95</v>
      </c>
      <c r="M79" s="1">
        <v>90</v>
      </c>
      <c r="N79" s="7">
        <v>100</v>
      </c>
      <c r="O79" s="7">
        <v>100</v>
      </c>
      <c r="P79" s="38">
        <f t="shared" si="4"/>
        <v>91.25</v>
      </c>
      <c r="Q79" s="38">
        <v>16</v>
      </c>
      <c r="R79" s="38">
        <v>10</v>
      </c>
      <c r="S79" s="38">
        <v>10</v>
      </c>
      <c r="T79" s="38">
        <v>10</v>
      </c>
      <c r="U79" s="38">
        <v>6</v>
      </c>
      <c r="V79" s="38">
        <v>6</v>
      </c>
      <c r="W79" s="38">
        <v>0</v>
      </c>
      <c r="X79" s="38">
        <v>8</v>
      </c>
      <c r="Y79" s="38">
        <v>7</v>
      </c>
      <c r="Z79" s="41">
        <f t="shared" si="5"/>
        <v>73</v>
      </c>
      <c r="AA79" s="38">
        <f t="shared" si="6"/>
        <v>91.25</v>
      </c>
      <c r="AB79" s="42">
        <f t="shared" si="7"/>
        <v>78.474999999999994</v>
      </c>
      <c r="AC79" s="38" t="s">
        <v>173</v>
      </c>
    </row>
    <row r="80" spans="1:29" s="1" customFormat="1" ht="17.100000000000001" customHeight="1">
      <c r="A80" s="7" t="s">
        <v>139</v>
      </c>
      <c r="B80" s="7" t="s">
        <v>174</v>
      </c>
      <c r="C80" s="7"/>
      <c r="D80" s="7" t="s">
        <v>175</v>
      </c>
      <c r="E80" s="7" t="s">
        <v>50</v>
      </c>
      <c r="F80" s="7">
        <v>85</v>
      </c>
      <c r="G80" s="7">
        <v>85</v>
      </c>
      <c r="H80" s="7">
        <v>85</v>
      </c>
      <c r="I80" s="7">
        <v>90</v>
      </c>
      <c r="J80" s="26">
        <v>95</v>
      </c>
      <c r="K80" s="26">
        <v>95</v>
      </c>
      <c r="L80" s="26">
        <v>95</v>
      </c>
      <c r="M80" s="1">
        <v>100</v>
      </c>
      <c r="N80" s="7">
        <v>100</v>
      </c>
      <c r="O80" s="7">
        <v>100</v>
      </c>
      <c r="P80" s="38">
        <f t="shared" si="4"/>
        <v>93.75</v>
      </c>
      <c r="Q80" s="38">
        <v>12</v>
      </c>
      <c r="R80" s="38">
        <v>4</v>
      </c>
      <c r="S80" s="38">
        <v>8</v>
      </c>
      <c r="T80" s="38">
        <v>6</v>
      </c>
      <c r="U80" s="38">
        <v>0</v>
      </c>
      <c r="V80" s="38">
        <v>0</v>
      </c>
      <c r="W80" s="38">
        <v>2</v>
      </c>
      <c r="X80" s="38">
        <v>0</v>
      </c>
      <c r="Y80" s="38">
        <v>2</v>
      </c>
      <c r="Z80" s="41">
        <f t="shared" si="5"/>
        <v>34</v>
      </c>
      <c r="AA80" s="38">
        <f t="shared" si="6"/>
        <v>93.75</v>
      </c>
      <c r="AB80" s="42">
        <f t="shared" si="7"/>
        <v>51.924999999999997</v>
      </c>
      <c r="AC80" s="38" t="s">
        <v>175</v>
      </c>
    </row>
    <row r="81" spans="1:29" s="1" customFormat="1" ht="17.100000000000001" customHeight="1">
      <c r="A81" s="7" t="s">
        <v>139</v>
      </c>
      <c r="B81" s="7" t="s">
        <v>176</v>
      </c>
      <c r="C81" s="7"/>
      <c r="D81" s="7" t="s">
        <v>177</v>
      </c>
      <c r="E81" s="7" t="s">
        <v>50</v>
      </c>
      <c r="F81" s="7">
        <v>90</v>
      </c>
      <c r="G81" s="7">
        <v>90</v>
      </c>
      <c r="H81" s="7">
        <v>90</v>
      </c>
      <c r="I81" s="7">
        <v>90</v>
      </c>
      <c r="J81" s="26">
        <v>90</v>
      </c>
      <c r="K81" s="26">
        <v>95</v>
      </c>
      <c r="L81" s="26">
        <v>95</v>
      </c>
      <c r="M81" s="1">
        <v>100</v>
      </c>
      <c r="N81" s="7">
        <v>100</v>
      </c>
      <c r="O81" s="7">
        <v>100</v>
      </c>
      <c r="P81" s="38">
        <f t="shared" si="4"/>
        <v>94.444444444444443</v>
      </c>
      <c r="Q81" s="38">
        <v>12</v>
      </c>
      <c r="R81" s="38">
        <v>7</v>
      </c>
      <c r="S81" s="38">
        <v>9</v>
      </c>
      <c r="T81" s="38">
        <v>10</v>
      </c>
      <c r="U81" s="38">
        <v>0</v>
      </c>
      <c r="V81" s="38">
        <v>6</v>
      </c>
      <c r="W81" s="38">
        <v>0</v>
      </c>
      <c r="X81" s="38">
        <v>6</v>
      </c>
      <c r="Y81" s="38">
        <v>5</v>
      </c>
      <c r="Z81" s="41">
        <f t="shared" si="5"/>
        <v>55</v>
      </c>
      <c r="AA81" s="38">
        <f t="shared" si="6"/>
        <v>94.444444444444443</v>
      </c>
      <c r="AB81" s="42">
        <f t="shared" si="7"/>
        <v>66.833333333333329</v>
      </c>
      <c r="AC81" s="38" t="s">
        <v>177</v>
      </c>
    </row>
    <row r="82" spans="1:29" s="1" customFormat="1" ht="17.100000000000001" customHeight="1">
      <c r="A82" s="7" t="s">
        <v>139</v>
      </c>
      <c r="B82" s="7" t="s">
        <v>178</v>
      </c>
      <c r="C82" s="7"/>
      <c r="D82" s="7" t="s">
        <v>179</v>
      </c>
      <c r="E82" s="7" t="s">
        <v>50</v>
      </c>
      <c r="F82" s="7">
        <v>85</v>
      </c>
      <c r="G82" s="7">
        <v>85</v>
      </c>
      <c r="H82" s="7">
        <v>85</v>
      </c>
      <c r="I82" s="7">
        <v>90</v>
      </c>
      <c r="J82" s="26">
        <v>90</v>
      </c>
      <c r="K82" s="26">
        <v>95</v>
      </c>
      <c r="L82" s="26">
        <v>95</v>
      </c>
      <c r="M82" s="1">
        <v>100</v>
      </c>
      <c r="N82" s="7">
        <v>100</v>
      </c>
      <c r="O82" s="7">
        <v>100</v>
      </c>
      <c r="P82" s="38">
        <f t="shared" si="4"/>
        <v>93.194444444444443</v>
      </c>
      <c r="Q82" s="38">
        <v>12</v>
      </c>
      <c r="R82" s="38">
        <v>6</v>
      </c>
      <c r="S82" s="38">
        <v>9</v>
      </c>
      <c r="T82" s="38">
        <v>10</v>
      </c>
      <c r="U82" s="38">
        <v>6</v>
      </c>
      <c r="V82" s="38">
        <v>0</v>
      </c>
      <c r="W82" s="38">
        <v>0</v>
      </c>
      <c r="X82" s="38">
        <v>5</v>
      </c>
      <c r="Y82" s="38">
        <v>4</v>
      </c>
      <c r="Z82" s="41">
        <f t="shared" si="5"/>
        <v>52</v>
      </c>
      <c r="AA82" s="38">
        <f t="shared" si="6"/>
        <v>93.194444444444443</v>
      </c>
      <c r="AB82" s="42">
        <f t="shared" si="7"/>
        <v>64.358333333333334</v>
      </c>
      <c r="AC82" s="38" t="s">
        <v>179</v>
      </c>
    </row>
    <row r="83" spans="1:29" s="1" customFormat="1" ht="17.100000000000001" customHeight="1">
      <c r="A83" s="7" t="s">
        <v>139</v>
      </c>
      <c r="B83" s="7" t="s">
        <v>180</v>
      </c>
      <c r="C83" s="7"/>
      <c r="D83" s="7" t="s">
        <v>181</v>
      </c>
      <c r="E83" s="7" t="s">
        <v>50</v>
      </c>
      <c r="F83" s="7">
        <v>95</v>
      </c>
      <c r="G83" s="7">
        <v>90</v>
      </c>
      <c r="H83" s="7">
        <v>90</v>
      </c>
      <c r="I83" s="7">
        <v>90</v>
      </c>
      <c r="J83" s="26">
        <v>95</v>
      </c>
      <c r="K83" s="26">
        <v>95</v>
      </c>
      <c r="L83" s="26">
        <v>95</v>
      </c>
      <c r="M83" s="1">
        <v>100</v>
      </c>
      <c r="N83" s="7">
        <v>100</v>
      </c>
      <c r="O83" s="7">
        <v>100</v>
      </c>
      <c r="P83" s="38">
        <f t="shared" si="4"/>
        <v>95.416666666666671</v>
      </c>
      <c r="Q83" s="38">
        <v>16</v>
      </c>
      <c r="R83" s="38">
        <v>7</v>
      </c>
      <c r="S83" s="38">
        <v>9</v>
      </c>
      <c r="T83" s="38">
        <v>10</v>
      </c>
      <c r="U83" s="38">
        <v>0</v>
      </c>
      <c r="V83" s="38">
        <v>2</v>
      </c>
      <c r="W83" s="38">
        <v>0</v>
      </c>
      <c r="X83" s="38">
        <v>6</v>
      </c>
      <c r="Y83" s="38">
        <v>4</v>
      </c>
      <c r="Z83" s="41">
        <f t="shared" si="5"/>
        <v>54</v>
      </c>
      <c r="AA83" s="38">
        <f t="shared" si="6"/>
        <v>95.416666666666671</v>
      </c>
      <c r="AB83" s="42">
        <f t="shared" si="7"/>
        <v>66.424999999999997</v>
      </c>
      <c r="AC83" s="38" t="s">
        <v>181</v>
      </c>
    </row>
    <row r="84" spans="1:29" s="1" customFormat="1" ht="17.100000000000001" customHeight="1">
      <c r="A84" s="7" t="s">
        <v>139</v>
      </c>
      <c r="B84" s="7" t="s">
        <v>182</v>
      </c>
      <c r="C84" s="7"/>
      <c r="D84" s="7" t="s">
        <v>183</v>
      </c>
      <c r="E84" s="7" t="s">
        <v>52</v>
      </c>
      <c r="F84" s="7">
        <v>95</v>
      </c>
      <c r="G84" s="7">
        <v>90</v>
      </c>
      <c r="H84" s="7">
        <v>95</v>
      </c>
      <c r="I84" s="7">
        <v>95</v>
      </c>
      <c r="J84" s="26">
        <v>90</v>
      </c>
      <c r="K84" s="26">
        <v>95</v>
      </c>
      <c r="L84" s="26">
        <v>100</v>
      </c>
      <c r="M84" s="1">
        <v>100</v>
      </c>
      <c r="N84" s="7">
        <v>100</v>
      </c>
      <c r="O84" s="7">
        <v>100</v>
      </c>
      <c r="P84" s="38">
        <f t="shared" si="4"/>
        <v>96.25</v>
      </c>
      <c r="Q84" s="38">
        <v>16</v>
      </c>
      <c r="R84" s="38">
        <v>8</v>
      </c>
      <c r="S84" s="38">
        <v>9</v>
      </c>
      <c r="T84" s="38">
        <v>10</v>
      </c>
      <c r="U84" s="38">
        <v>4</v>
      </c>
      <c r="V84" s="38">
        <v>4</v>
      </c>
      <c r="W84" s="38">
        <v>2</v>
      </c>
      <c r="X84" s="38">
        <v>10</v>
      </c>
      <c r="Y84" s="38">
        <v>5</v>
      </c>
      <c r="Z84" s="41">
        <f t="shared" si="5"/>
        <v>68</v>
      </c>
      <c r="AA84" s="38">
        <f t="shared" si="6"/>
        <v>96.25</v>
      </c>
      <c r="AB84" s="42">
        <f t="shared" si="7"/>
        <v>76.474999999999994</v>
      </c>
      <c r="AC84" s="38" t="s">
        <v>183</v>
      </c>
    </row>
    <row r="85" spans="1:29" s="1" customFormat="1" ht="17.100000000000001" customHeight="1">
      <c r="A85" s="7" t="s">
        <v>139</v>
      </c>
      <c r="B85" s="7" t="s">
        <v>184</v>
      </c>
      <c r="C85" s="7"/>
      <c r="D85" s="7" t="s">
        <v>185</v>
      </c>
      <c r="E85" s="7" t="s">
        <v>52</v>
      </c>
      <c r="F85" s="7">
        <v>95</v>
      </c>
      <c r="G85" s="7">
        <v>95</v>
      </c>
      <c r="H85" s="7">
        <v>85</v>
      </c>
      <c r="I85" s="7">
        <v>90</v>
      </c>
      <c r="J85" s="26">
        <v>95</v>
      </c>
      <c r="K85" s="26">
        <v>95</v>
      </c>
      <c r="L85" s="26">
        <v>95</v>
      </c>
      <c r="M85" s="1">
        <v>100</v>
      </c>
      <c r="N85" s="7">
        <v>100</v>
      </c>
      <c r="O85" s="7">
        <v>100</v>
      </c>
      <c r="P85" s="38">
        <f t="shared" si="4"/>
        <v>95.416666666666671</v>
      </c>
      <c r="Q85" s="38">
        <v>16</v>
      </c>
      <c r="R85" s="38">
        <v>7</v>
      </c>
      <c r="S85" s="38">
        <v>7</v>
      </c>
      <c r="T85" s="38">
        <v>10</v>
      </c>
      <c r="U85" s="38">
        <v>0</v>
      </c>
      <c r="V85" s="38">
        <v>8</v>
      </c>
      <c r="W85" s="38">
        <v>0</v>
      </c>
      <c r="X85" s="38">
        <v>1</v>
      </c>
      <c r="Y85" s="38">
        <v>4</v>
      </c>
      <c r="Z85" s="41">
        <f t="shared" si="5"/>
        <v>53</v>
      </c>
      <c r="AA85" s="38">
        <f t="shared" si="6"/>
        <v>95.416666666666671</v>
      </c>
      <c r="AB85" s="42">
        <f t="shared" si="7"/>
        <v>65.724999999999994</v>
      </c>
      <c r="AC85" s="38" t="s">
        <v>185</v>
      </c>
    </row>
    <row r="86" spans="1:29" s="1" customFormat="1" ht="17.100000000000001" customHeight="1">
      <c r="A86" s="7" t="s">
        <v>139</v>
      </c>
      <c r="B86" s="7" t="s">
        <v>186</v>
      </c>
      <c r="C86" s="7"/>
      <c r="D86" s="7" t="s">
        <v>187</v>
      </c>
      <c r="E86" s="7" t="s">
        <v>52</v>
      </c>
      <c r="F86" s="7">
        <v>95</v>
      </c>
      <c r="G86" s="7">
        <v>95</v>
      </c>
      <c r="H86" s="7">
        <v>100</v>
      </c>
      <c r="I86" s="7">
        <v>100</v>
      </c>
      <c r="J86" s="26">
        <v>95</v>
      </c>
      <c r="K86" s="26">
        <v>100</v>
      </c>
      <c r="L86" s="26">
        <v>95</v>
      </c>
      <c r="M86" s="1">
        <v>100</v>
      </c>
      <c r="N86" s="7">
        <v>100</v>
      </c>
      <c r="O86" s="7">
        <v>100</v>
      </c>
      <c r="P86" s="38">
        <f t="shared" si="4"/>
        <v>98.055555555555557</v>
      </c>
      <c r="Q86" s="38">
        <v>16</v>
      </c>
      <c r="R86" s="38">
        <v>7</v>
      </c>
      <c r="S86" s="38">
        <v>10</v>
      </c>
      <c r="T86" s="38">
        <v>10</v>
      </c>
      <c r="U86" s="38">
        <v>0</v>
      </c>
      <c r="V86" s="38">
        <v>8</v>
      </c>
      <c r="W86" s="38">
        <v>6</v>
      </c>
      <c r="X86" s="38">
        <v>10</v>
      </c>
      <c r="Y86" s="38">
        <v>5</v>
      </c>
      <c r="Z86" s="41">
        <f t="shared" si="5"/>
        <v>72</v>
      </c>
      <c r="AA86" s="38">
        <f t="shared" si="6"/>
        <v>98.055555555555557</v>
      </c>
      <c r="AB86" s="42">
        <f t="shared" si="7"/>
        <v>79.816666666666663</v>
      </c>
      <c r="AC86" s="38" t="s">
        <v>187</v>
      </c>
    </row>
    <row r="87" spans="1:29" s="1" customFormat="1" ht="17.100000000000001" customHeight="1">
      <c r="A87" s="7" t="s">
        <v>139</v>
      </c>
      <c r="B87" s="7" t="s">
        <v>188</v>
      </c>
      <c r="C87" s="7"/>
      <c r="D87" s="7" t="s">
        <v>189</v>
      </c>
      <c r="E87" s="7" t="s">
        <v>50</v>
      </c>
      <c r="F87" s="7">
        <v>100</v>
      </c>
      <c r="G87" s="7">
        <v>100</v>
      </c>
      <c r="H87" s="7">
        <v>90</v>
      </c>
      <c r="I87" s="7">
        <v>100</v>
      </c>
      <c r="J87" s="26">
        <v>90</v>
      </c>
      <c r="K87" s="26">
        <v>95</v>
      </c>
      <c r="L87" s="26">
        <v>95</v>
      </c>
      <c r="M87" s="1">
        <v>90</v>
      </c>
      <c r="N87" s="7">
        <v>100</v>
      </c>
      <c r="O87" s="7">
        <v>100</v>
      </c>
      <c r="P87" s="38">
        <f t="shared" si="4"/>
        <v>95.833333333333329</v>
      </c>
      <c r="Q87" s="38">
        <v>16</v>
      </c>
      <c r="R87" s="38">
        <v>6</v>
      </c>
      <c r="S87" s="38">
        <v>10</v>
      </c>
      <c r="T87" s="38">
        <v>4</v>
      </c>
      <c r="U87" s="38">
        <v>6</v>
      </c>
      <c r="V87" s="38">
        <v>8</v>
      </c>
      <c r="W87" s="38">
        <v>0</v>
      </c>
      <c r="X87" s="38">
        <v>9</v>
      </c>
      <c r="Y87" s="38">
        <v>4</v>
      </c>
      <c r="Z87" s="41">
        <f t="shared" si="5"/>
        <v>63</v>
      </c>
      <c r="AA87" s="38">
        <f t="shared" si="6"/>
        <v>95.833333333333329</v>
      </c>
      <c r="AB87" s="42">
        <f t="shared" si="7"/>
        <v>72.849999999999994</v>
      </c>
      <c r="AC87" s="38" t="s">
        <v>189</v>
      </c>
    </row>
    <row r="88" spans="1:29" s="1" customFormat="1" ht="17.100000000000001" customHeight="1">
      <c r="A88" s="7" t="s">
        <v>139</v>
      </c>
      <c r="B88" s="7" t="s">
        <v>190</v>
      </c>
      <c r="C88" s="7"/>
      <c r="D88" s="7" t="s">
        <v>191</v>
      </c>
      <c r="E88" s="7" t="s">
        <v>50</v>
      </c>
      <c r="F88" s="7">
        <v>90</v>
      </c>
      <c r="G88" s="7">
        <v>85</v>
      </c>
      <c r="H88" s="7">
        <v>85</v>
      </c>
      <c r="I88" s="7">
        <v>80</v>
      </c>
      <c r="J88" s="26">
        <v>90</v>
      </c>
      <c r="K88" s="26">
        <v>90</v>
      </c>
      <c r="L88" s="26">
        <v>90</v>
      </c>
      <c r="M88" s="1">
        <v>100</v>
      </c>
      <c r="N88" s="7">
        <v>100</v>
      </c>
      <c r="O88" s="7">
        <v>100</v>
      </c>
      <c r="P88" s="38">
        <f t="shared" si="4"/>
        <v>91.666666666666671</v>
      </c>
      <c r="Q88" s="38">
        <v>16</v>
      </c>
      <c r="R88" s="38">
        <v>7</v>
      </c>
      <c r="S88" s="38">
        <v>9</v>
      </c>
      <c r="T88" s="38">
        <v>10</v>
      </c>
      <c r="U88" s="38">
        <v>0</v>
      </c>
      <c r="V88" s="38">
        <v>2</v>
      </c>
      <c r="W88" s="38">
        <v>6</v>
      </c>
      <c r="X88" s="38">
        <v>6</v>
      </c>
      <c r="Y88" s="38">
        <v>5</v>
      </c>
      <c r="Z88" s="41">
        <f t="shared" si="5"/>
        <v>61</v>
      </c>
      <c r="AA88" s="38">
        <f t="shared" si="6"/>
        <v>91.666666666666671</v>
      </c>
      <c r="AB88" s="42">
        <f t="shared" si="7"/>
        <v>70.199999999999989</v>
      </c>
      <c r="AC88" s="38" t="s">
        <v>191</v>
      </c>
    </row>
    <row r="89" spans="1:29" s="1" customFormat="1" ht="17.100000000000001" customHeight="1">
      <c r="A89" s="7" t="s">
        <v>139</v>
      </c>
      <c r="B89" s="21">
        <v>1810301209</v>
      </c>
      <c r="C89" s="21"/>
      <c r="D89" s="21" t="s">
        <v>192</v>
      </c>
      <c r="E89" s="21" t="s">
        <v>50</v>
      </c>
      <c r="F89" s="7">
        <v>100</v>
      </c>
      <c r="G89" s="7">
        <v>100</v>
      </c>
      <c r="H89" s="7">
        <v>100</v>
      </c>
      <c r="I89" s="7">
        <v>100</v>
      </c>
      <c r="J89" s="26">
        <v>95</v>
      </c>
      <c r="K89" s="26">
        <v>95</v>
      </c>
      <c r="L89" s="26">
        <v>95</v>
      </c>
      <c r="M89" s="1">
        <v>100</v>
      </c>
      <c r="N89" s="7">
        <v>100</v>
      </c>
      <c r="O89" s="7">
        <v>100</v>
      </c>
      <c r="P89" s="38">
        <f t="shared" ref="P89:P131" si="8">(AVERAGE(F89:I89)+AVERAGE(J89:L89)+AVERAGE(M89:O89))/3</f>
        <v>98.333333333333329</v>
      </c>
      <c r="Q89" s="38">
        <v>16</v>
      </c>
      <c r="R89" s="38">
        <v>7</v>
      </c>
      <c r="S89" s="38">
        <v>10</v>
      </c>
      <c r="T89" s="38">
        <v>10</v>
      </c>
      <c r="U89" s="38">
        <v>4</v>
      </c>
      <c r="V89" s="38">
        <v>6</v>
      </c>
      <c r="W89" s="38">
        <v>8</v>
      </c>
      <c r="X89" s="38">
        <v>6</v>
      </c>
      <c r="Y89" s="38">
        <v>6</v>
      </c>
      <c r="Z89" s="41">
        <f t="shared" ref="Z89:Z131" si="9">SUM(Q89:Y89)</f>
        <v>73</v>
      </c>
      <c r="AA89" s="38">
        <f t="shared" ref="AA89:AA131" si="10">P89</f>
        <v>98.333333333333329</v>
      </c>
      <c r="AB89" s="42">
        <f t="shared" ref="AB89:AB131" si="11">Z89*0.7+AA89*0.3</f>
        <v>80.599999999999994</v>
      </c>
      <c r="AC89" s="38" t="s">
        <v>192</v>
      </c>
    </row>
    <row r="90" spans="1:29" s="1" customFormat="1" ht="17.100000000000001" customHeight="1">
      <c r="A90" s="22" t="s">
        <v>139</v>
      </c>
      <c r="B90" s="7" t="s">
        <v>193</v>
      </c>
      <c r="C90" s="7"/>
      <c r="D90" s="23" t="s">
        <v>194</v>
      </c>
      <c r="E90" s="23" t="s">
        <v>50</v>
      </c>
      <c r="F90" s="7">
        <v>95</v>
      </c>
      <c r="G90" s="7">
        <v>100</v>
      </c>
      <c r="H90" s="7">
        <v>100</v>
      </c>
      <c r="I90" s="7">
        <v>100</v>
      </c>
      <c r="J90" s="26">
        <v>100</v>
      </c>
      <c r="K90" s="26">
        <v>95</v>
      </c>
      <c r="L90" s="26">
        <v>95</v>
      </c>
      <c r="M90" s="1">
        <v>90</v>
      </c>
      <c r="N90" s="7">
        <v>100</v>
      </c>
      <c r="O90" s="7">
        <v>100</v>
      </c>
      <c r="P90" s="38">
        <f t="shared" si="8"/>
        <v>97.361111111111128</v>
      </c>
      <c r="Q90" s="38">
        <v>20</v>
      </c>
      <c r="R90" s="38">
        <v>4</v>
      </c>
      <c r="S90" s="38">
        <v>7</v>
      </c>
      <c r="T90" s="38">
        <v>10</v>
      </c>
      <c r="U90" s="38">
        <v>2</v>
      </c>
      <c r="V90" s="38">
        <v>0</v>
      </c>
      <c r="W90" s="38">
        <v>6</v>
      </c>
      <c r="X90" s="38">
        <v>1</v>
      </c>
      <c r="Y90" s="38">
        <v>2</v>
      </c>
      <c r="Z90" s="41">
        <f t="shared" si="9"/>
        <v>52</v>
      </c>
      <c r="AA90" s="38">
        <f t="shared" si="10"/>
        <v>97.361111111111128</v>
      </c>
      <c r="AB90" s="42">
        <f t="shared" si="11"/>
        <v>65.608333333333334</v>
      </c>
      <c r="AC90" s="38" t="s">
        <v>194</v>
      </c>
    </row>
    <row r="91" spans="1:29" s="1" customFormat="1" ht="17.100000000000001" customHeight="1">
      <c r="A91" s="22" t="s">
        <v>139</v>
      </c>
      <c r="B91" s="7" t="s">
        <v>195</v>
      </c>
      <c r="C91" s="7"/>
      <c r="D91" s="23" t="s">
        <v>196</v>
      </c>
      <c r="E91" s="23" t="s">
        <v>50</v>
      </c>
      <c r="F91" s="7">
        <v>100</v>
      </c>
      <c r="G91" s="7">
        <v>100</v>
      </c>
      <c r="H91" s="7">
        <v>100</v>
      </c>
      <c r="I91" s="7">
        <v>100</v>
      </c>
      <c r="J91" s="26">
        <v>100</v>
      </c>
      <c r="K91" s="26">
        <v>95</v>
      </c>
      <c r="L91" s="26">
        <v>100</v>
      </c>
      <c r="M91" s="1">
        <v>100</v>
      </c>
      <c r="N91" s="7">
        <v>100</v>
      </c>
      <c r="O91" s="7">
        <v>100</v>
      </c>
      <c r="P91" s="38">
        <f t="shared" si="8"/>
        <v>99.444444444444443</v>
      </c>
      <c r="Q91" s="38">
        <v>16</v>
      </c>
      <c r="R91" s="38">
        <v>7</v>
      </c>
      <c r="S91" s="38">
        <v>10</v>
      </c>
      <c r="T91" s="38">
        <v>10</v>
      </c>
      <c r="U91" s="38">
        <v>0</v>
      </c>
      <c r="V91" s="38">
        <v>6</v>
      </c>
      <c r="W91" s="38">
        <v>6</v>
      </c>
      <c r="X91" s="38">
        <v>8</v>
      </c>
      <c r="Y91" s="38">
        <v>5</v>
      </c>
      <c r="Z91" s="41">
        <f t="shared" si="9"/>
        <v>68</v>
      </c>
      <c r="AA91" s="38">
        <f t="shared" si="10"/>
        <v>99.444444444444443</v>
      </c>
      <c r="AB91" s="42">
        <f t="shared" si="11"/>
        <v>77.433333333333323</v>
      </c>
      <c r="AC91" s="38" t="s">
        <v>196</v>
      </c>
    </row>
    <row r="92" spans="1:29" ht="17.100000000000001" customHeight="1">
      <c r="A92" s="18" t="s">
        <v>197</v>
      </c>
      <c r="B92" s="19">
        <v>1810300117</v>
      </c>
      <c r="C92" s="19">
        <v>1</v>
      </c>
      <c r="D92" s="18" t="s">
        <v>198</v>
      </c>
      <c r="E92" s="18" t="s">
        <v>199</v>
      </c>
      <c r="F92" s="7">
        <v>90</v>
      </c>
      <c r="G92" s="7">
        <v>90</v>
      </c>
      <c r="H92" s="7">
        <v>85</v>
      </c>
      <c r="I92" s="7">
        <v>80</v>
      </c>
      <c r="J92" s="26">
        <v>100</v>
      </c>
      <c r="K92" s="26">
        <v>95</v>
      </c>
      <c r="L92" s="26">
        <v>95</v>
      </c>
      <c r="M92" s="7">
        <v>100</v>
      </c>
      <c r="N92" s="1">
        <v>100</v>
      </c>
      <c r="O92" s="1">
        <v>100</v>
      </c>
      <c r="P92" s="38">
        <f t="shared" si="8"/>
        <v>94.305555555555557</v>
      </c>
      <c r="Q92" s="38">
        <v>12</v>
      </c>
      <c r="R92" s="38">
        <v>4</v>
      </c>
      <c r="S92" s="38">
        <v>2</v>
      </c>
      <c r="T92" s="38">
        <v>4</v>
      </c>
      <c r="U92" s="38">
        <v>4</v>
      </c>
      <c r="V92" s="38">
        <v>6</v>
      </c>
      <c r="W92" s="38">
        <v>0</v>
      </c>
      <c r="X92" s="38">
        <v>3</v>
      </c>
      <c r="Y92" s="38">
        <v>4</v>
      </c>
      <c r="Z92" s="41">
        <f t="shared" si="9"/>
        <v>39</v>
      </c>
      <c r="AA92" s="38">
        <f t="shared" si="10"/>
        <v>94.305555555555557</v>
      </c>
      <c r="AB92" s="42">
        <f t="shared" si="11"/>
        <v>55.591666666666669</v>
      </c>
      <c r="AC92" s="38" t="s">
        <v>198</v>
      </c>
    </row>
    <row r="93" spans="1:29" ht="17.100000000000001" customHeight="1">
      <c r="A93" s="18" t="s">
        <v>197</v>
      </c>
      <c r="B93" s="19">
        <v>1810300120</v>
      </c>
      <c r="C93" s="19">
        <v>2</v>
      </c>
      <c r="D93" s="18" t="s">
        <v>200</v>
      </c>
      <c r="E93" s="18" t="s">
        <v>199</v>
      </c>
      <c r="F93" s="7">
        <v>90</v>
      </c>
      <c r="G93" s="7">
        <v>100</v>
      </c>
      <c r="H93" s="7">
        <v>100</v>
      </c>
      <c r="I93" s="7">
        <v>100</v>
      </c>
      <c r="J93" s="26">
        <v>100</v>
      </c>
      <c r="K93" s="26">
        <v>100</v>
      </c>
      <c r="L93" s="26">
        <v>95</v>
      </c>
      <c r="M93" s="7">
        <v>100</v>
      </c>
      <c r="N93" s="1">
        <v>100</v>
      </c>
      <c r="O93" s="1">
        <v>100</v>
      </c>
      <c r="P93" s="38">
        <f t="shared" si="8"/>
        <v>98.6111111111111</v>
      </c>
      <c r="Q93" s="38">
        <v>16</v>
      </c>
      <c r="R93" s="38">
        <v>2</v>
      </c>
      <c r="S93" s="38">
        <v>10</v>
      </c>
      <c r="T93" s="38">
        <v>10</v>
      </c>
      <c r="U93" s="38">
        <v>4</v>
      </c>
      <c r="V93" s="38">
        <v>6</v>
      </c>
      <c r="W93" s="38">
        <v>6</v>
      </c>
      <c r="X93" s="38">
        <v>6</v>
      </c>
      <c r="Y93" s="38">
        <v>4</v>
      </c>
      <c r="Z93" s="41">
        <f t="shared" si="9"/>
        <v>64</v>
      </c>
      <c r="AA93" s="38">
        <f t="shared" si="10"/>
        <v>98.6111111111111</v>
      </c>
      <c r="AB93" s="42">
        <f t="shared" si="11"/>
        <v>74.383333333333326</v>
      </c>
      <c r="AC93" s="38" t="s">
        <v>200</v>
      </c>
    </row>
    <row r="94" spans="1:29" ht="17.100000000000001" customHeight="1">
      <c r="A94" s="18" t="s">
        <v>197</v>
      </c>
      <c r="B94" s="19">
        <v>1810300221</v>
      </c>
      <c r="C94" s="19">
        <v>3</v>
      </c>
      <c r="D94" s="18" t="s">
        <v>201</v>
      </c>
      <c r="E94" s="18" t="s">
        <v>199</v>
      </c>
      <c r="F94" s="7">
        <v>90</v>
      </c>
      <c r="G94" s="7">
        <v>90</v>
      </c>
      <c r="H94" s="7">
        <v>85</v>
      </c>
      <c r="I94" s="7">
        <v>85</v>
      </c>
      <c r="J94" s="26">
        <v>90</v>
      </c>
      <c r="K94" s="26">
        <v>95</v>
      </c>
      <c r="L94" s="26">
        <v>95</v>
      </c>
      <c r="M94" s="7">
        <v>100</v>
      </c>
      <c r="N94" s="1">
        <v>100</v>
      </c>
      <c r="O94" s="1">
        <v>100</v>
      </c>
      <c r="P94" s="38">
        <f t="shared" si="8"/>
        <v>93.6111111111111</v>
      </c>
      <c r="Q94" s="38">
        <v>8</v>
      </c>
      <c r="R94" s="38">
        <v>9</v>
      </c>
      <c r="S94" s="38">
        <v>9</v>
      </c>
      <c r="T94" s="38">
        <v>10</v>
      </c>
      <c r="U94" s="38">
        <v>0</v>
      </c>
      <c r="V94" s="38">
        <v>4</v>
      </c>
      <c r="W94" s="38">
        <v>2</v>
      </c>
      <c r="X94" s="38">
        <v>1</v>
      </c>
      <c r="Y94" s="38">
        <v>5</v>
      </c>
      <c r="Z94" s="41">
        <f t="shared" si="9"/>
        <v>48</v>
      </c>
      <c r="AA94" s="38">
        <f t="shared" si="10"/>
        <v>93.6111111111111</v>
      </c>
      <c r="AB94" s="42">
        <f t="shared" si="11"/>
        <v>61.683333333333323</v>
      </c>
      <c r="AC94" s="38" t="s">
        <v>201</v>
      </c>
    </row>
    <row r="95" spans="1:29" ht="17.100000000000001" customHeight="1">
      <c r="A95" s="18" t="s">
        <v>197</v>
      </c>
      <c r="B95" s="19">
        <v>1810300318</v>
      </c>
      <c r="C95" s="19">
        <v>4</v>
      </c>
      <c r="D95" s="18" t="s">
        <v>202</v>
      </c>
      <c r="E95" s="18" t="s">
        <v>199</v>
      </c>
      <c r="F95" s="7">
        <v>85</v>
      </c>
      <c r="G95" s="7">
        <v>80</v>
      </c>
      <c r="H95" s="7">
        <v>80</v>
      </c>
      <c r="I95" s="7">
        <v>80</v>
      </c>
      <c r="J95" s="26">
        <v>90</v>
      </c>
      <c r="K95" s="26">
        <v>100</v>
      </c>
      <c r="L95" s="26">
        <v>100</v>
      </c>
      <c r="M95" s="1">
        <v>100</v>
      </c>
      <c r="N95" s="1">
        <v>80</v>
      </c>
      <c r="O95" s="1">
        <v>100</v>
      </c>
      <c r="P95" s="38">
        <f t="shared" si="8"/>
        <v>90.416666666666671</v>
      </c>
      <c r="Q95" s="38">
        <v>12</v>
      </c>
      <c r="R95" s="38">
        <v>8</v>
      </c>
      <c r="S95" s="38">
        <v>9</v>
      </c>
      <c r="T95" s="38">
        <v>10</v>
      </c>
      <c r="U95" s="38">
        <v>2</v>
      </c>
      <c r="V95" s="38">
        <v>4</v>
      </c>
      <c r="W95" s="38">
        <v>0</v>
      </c>
      <c r="X95" s="38">
        <v>1</v>
      </c>
      <c r="Y95" s="38">
        <v>3</v>
      </c>
      <c r="Z95" s="41">
        <f t="shared" si="9"/>
        <v>49</v>
      </c>
      <c r="AA95" s="38">
        <f t="shared" si="10"/>
        <v>90.416666666666671</v>
      </c>
      <c r="AB95" s="42">
        <f t="shared" si="11"/>
        <v>61.424999999999997</v>
      </c>
      <c r="AC95" s="38" t="s">
        <v>202</v>
      </c>
    </row>
    <row r="96" spans="1:29" ht="17.100000000000001" customHeight="1">
      <c r="A96" s="18" t="s">
        <v>197</v>
      </c>
      <c r="B96" s="19">
        <v>1810300404</v>
      </c>
      <c r="C96" s="19">
        <v>5</v>
      </c>
      <c r="D96" s="18" t="s">
        <v>203</v>
      </c>
      <c r="E96" s="18" t="s">
        <v>199</v>
      </c>
      <c r="F96" s="7">
        <v>100</v>
      </c>
      <c r="G96" s="7">
        <v>100</v>
      </c>
      <c r="H96" s="7">
        <v>100</v>
      </c>
      <c r="I96" s="7">
        <v>100</v>
      </c>
      <c r="J96" s="26">
        <v>100</v>
      </c>
      <c r="K96" s="26">
        <v>100</v>
      </c>
      <c r="L96" s="26">
        <v>100</v>
      </c>
      <c r="M96">
        <v>100</v>
      </c>
      <c r="N96" s="1">
        <v>100</v>
      </c>
      <c r="O96" s="1">
        <v>100</v>
      </c>
      <c r="P96" s="38">
        <f t="shared" si="8"/>
        <v>100</v>
      </c>
      <c r="Q96" s="38">
        <v>20</v>
      </c>
      <c r="R96" s="38">
        <v>8</v>
      </c>
      <c r="S96" s="38">
        <v>10</v>
      </c>
      <c r="T96" s="38">
        <v>10</v>
      </c>
      <c r="U96" s="38">
        <v>6</v>
      </c>
      <c r="V96" s="38">
        <v>8</v>
      </c>
      <c r="W96" s="38">
        <v>10</v>
      </c>
      <c r="X96" s="38">
        <v>5</v>
      </c>
      <c r="Y96" s="38">
        <v>8</v>
      </c>
      <c r="Z96" s="41">
        <f t="shared" si="9"/>
        <v>85</v>
      </c>
      <c r="AA96" s="38">
        <f t="shared" si="10"/>
        <v>100</v>
      </c>
      <c r="AB96" s="42">
        <f t="shared" si="11"/>
        <v>89.5</v>
      </c>
      <c r="AC96" s="38" t="s">
        <v>203</v>
      </c>
    </row>
    <row r="97" spans="1:29" ht="17.100000000000001" customHeight="1">
      <c r="A97" s="18" t="s">
        <v>197</v>
      </c>
      <c r="B97" s="19">
        <v>1810300504</v>
      </c>
      <c r="C97" s="19">
        <v>6</v>
      </c>
      <c r="D97" s="18" t="s">
        <v>204</v>
      </c>
      <c r="E97" s="18" t="s">
        <v>199</v>
      </c>
      <c r="F97" s="7">
        <v>100</v>
      </c>
      <c r="G97" s="7">
        <v>100</v>
      </c>
      <c r="H97" s="7">
        <v>100</v>
      </c>
      <c r="I97" s="7">
        <v>100</v>
      </c>
      <c r="J97" s="26">
        <v>100</v>
      </c>
      <c r="K97" s="26">
        <v>95</v>
      </c>
      <c r="L97" s="26">
        <v>95</v>
      </c>
      <c r="M97">
        <v>100</v>
      </c>
      <c r="N97" s="1">
        <v>100</v>
      </c>
      <c r="O97" s="1">
        <v>100</v>
      </c>
      <c r="P97" s="38">
        <f t="shared" si="8"/>
        <v>98.8888888888889</v>
      </c>
      <c r="Q97" s="38">
        <v>20</v>
      </c>
      <c r="R97" s="38">
        <v>8</v>
      </c>
      <c r="S97" s="38">
        <v>9</v>
      </c>
      <c r="T97" s="38">
        <v>10</v>
      </c>
      <c r="U97" s="38">
        <v>0</v>
      </c>
      <c r="V97" s="38">
        <v>4</v>
      </c>
      <c r="W97" s="38">
        <v>2</v>
      </c>
      <c r="X97" s="38">
        <v>4</v>
      </c>
      <c r="Y97" s="38">
        <v>6</v>
      </c>
      <c r="Z97" s="41">
        <f t="shared" si="9"/>
        <v>63</v>
      </c>
      <c r="AA97" s="38">
        <f t="shared" si="10"/>
        <v>98.8888888888889</v>
      </c>
      <c r="AB97" s="42">
        <f t="shared" si="11"/>
        <v>73.766666666666666</v>
      </c>
      <c r="AC97" s="38" t="s">
        <v>204</v>
      </c>
    </row>
    <row r="98" spans="1:29" ht="17.100000000000001" customHeight="1">
      <c r="A98" s="18" t="s">
        <v>197</v>
      </c>
      <c r="B98" s="19">
        <v>1810300512</v>
      </c>
      <c r="C98" s="19">
        <v>7</v>
      </c>
      <c r="D98" s="18" t="s">
        <v>205</v>
      </c>
      <c r="E98" s="18" t="s">
        <v>199</v>
      </c>
      <c r="F98" s="7">
        <v>80</v>
      </c>
      <c r="G98" s="7">
        <v>85</v>
      </c>
      <c r="H98" s="7">
        <v>80</v>
      </c>
      <c r="I98" s="7">
        <v>80</v>
      </c>
      <c r="J98" s="26">
        <v>100</v>
      </c>
      <c r="K98" s="26">
        <v>95</v>
      </c>
      <c r="L98" s="26">
        <v>95</v>
      </c>
      <c r="M98">
        <v>90</v>
      </c>
      <c r="N98" s="1">
        <v>100</v>
      </c>
      <c r="O98" s="1">
        <v>100</v>
      </c>
      <c r="P98" s="38">
        <f t="shared" si="8"/>
        <v>91.527777777777786</v>
      </c>
      <c r="Q98" s="38">
        <v>12</v>
      </c>
      <c r="R98" s="38">
        <v>7</v>
      </c>
      <c r="S98" s="38">
        <v>8</v>
      </c>
      <c r="T98" s="38">
        <v>10</v>
      </c>
      <c r="U98" s="38">
        <v>6</v>
      </c>
      <c r="V98" s="38">
        <v>4</v>
      </c>
      <c r="W98" s="38">
        <v>2</v>
      </c>
      <c r="X98" s="38">
        <v>9</v>
      </c>
      <c r="Y98" s="38">
        <v>5</v>
      </c>
      <c r="Z98" s="41">
        <f t="shared" si="9"/>
        <v>63</v>
      </c>
      <c r="AA98" s="38">
        <f t="shared" si="10"/>
        <v>91.527777777777786</v>
      </c>
      <c r="AB98" s="42">
        <f t="shared" si="11"/>
        <v>71.558333333333337</v>
      </c>
      <c r="AC98" s="38" t="s">
        <v>205</v>
      </c>
    </row>
    <row r="99" spans="1:29" ht="17.100000000000001" customHeight="1">
      <c r="A99" s="18" t="s">
        <v>197</v>
      </c>
      <c r="B99" s="19">
        <v>1810300605</v>
      </c>
      <c r="C99" s="19">
        <v>8</v>
      </c>
      <c r="D99" s="18" t="s">
        <v>206</v>
      </c>
      <c r="E99" s="18" t="s">
        <v>199</v>
      </c>
      <c r="F99" s="7">
        <v>100</v>
      </c>
      <c r="G99" s="7">
        <v>95</v>
      </c>
      <c r="H99" s="7">
        <v>85</v>
      </c>
      <c r="I99" s="7">
        <v>90</v>
      </c>
      <c r="J99" s="26">
        <v>100</v>
      </c>
      <c r="K99" s="26">
        <v>95</v>
      </c>
      <c r="L99" s="26">
        <v>100</v>
      </c>
      <c r="M99">
        <v>90</v>
      </c>
      <c r="N99">
        <v>100</v>
      </c>
      <c r="O99" s="1">
        <v>100</v>
      </c>
      <c r="P99" s="38">
        <f t="shared" si="8"/>
        <v>95.833333333333329</v>
      </c>
      <c r="Q99" s="38">
        <v>12</v>
      </c>
      <c r="R99" s="38">
        <v>8</v>
      </c>
      <c r="S99" s="38">
        <v>8</v>
      </c>
      <c r="T99" s="38">
        <v>10</v>
      </c>
      <c r="U99" s="38">
        <v>0</v>
      </c>
      <c r="V99" s="38">
        <v>4</v>
      </c>
      <c r="W99" s="38">
        <v>8</v>
      </c>
      <c r="X99" s="38">
        <v>10</v>
      </c>
      <c r="Y99" s="38">
        <v>5</v>
      </c>
      <c r="Z99" s="41">
        <f t="shared" si="9"/>
        <v>65</v>
      </c>
      <c r="AA99" s="38">
        <f t="shared" si="10"/>
        <v>95.833333333333329</v>
      </c>
      <c r="AB99" s="42">
        <f t="shared" si="11"/>
        <v>74.25</v>
      </c>
      <c r="AC99" s="38" t="s">
        <v>206</v>
      </c>
    </row>
    <row r="100" spans="1:29" ht="17.100000000000001" customHeight="1">
      <c r="A100" s="18" t="s">
        <v>197</v>
      </c>
      <c r="B100" s="19">
        <v>1810300612</v>
      </c>
      <c r="C100" s="19">
        <v>9</v>
      </c>
      <c r="D100" s="18" t="s">
        <v>207</v>
      </c>
      <c r="E100" s="18" t="s">
        <v>199</v>
      </c>
      <c r="F100" s="7">
        <v>80</v>
      </c>
      <c r="G100" s="7">
        <v>80</v>
      </c>
      <c r="H100" s="7">
        <v>80</v>
      </c>
      <c r="I100" s="7">
        <v>80</v>
      </c>
      <c r="J100" s="26">
        <v>100</v>
      </c>
      <c r="K100" s="26">
        <v>95</v>
      </c>
      <c r="L100" s="26">
        <v>95</v>
      </c>
      <c r="M100">
        <v>90</v>
      </c>
      <c r="N100" s="1">
        <v>100</v>
      </c>
      <c r="O100" s="1">
        <v>100</v>
      </c>
      <c r="P100" s="38">
        <f t="shared" si="8"/>
        <v>91.111111111111128</v>
      </c>
      <c r="Q100" s="38">
        <v>16</v>
      </c>
      <c r="R100" s="38">
        <v>7</v>
      </c>
      <c r="S100" s="38">
        <v>7</v>
      </c>
      <c r="T100" s="38">
        <v>10</v>
      </c>
      <c r="U100" s="38">
        <v>0</v>
      </c>
      <c r="V100" s="38">
        <v>2</v>
      </c>
      <c r="W100" s="38">
        <v>6</v>
      </c>
      <c r="X100" s="38">
        <v>1</v>
      </c>
      <c r="Y100" s="38">
        <v>3</v>
      </c>
      <c r="Z100" s="41">
        <f t="shared" si="9"/>
        <v>52</v>
      </c>
      <c r="AA100" s="38">
        <f t="shared" si="10"/>
        <v>91.111111111111128</v>
      </c>
      <c r="AB100" s="42">
        <f t="shared" si="11"/>
        <v>63.733333333333334</v>
      </c>
      <c r="AC100" s="38" t="s">
        <v>207</v>
      </c>
    </row>
    <row r="101" spans="1:29" ht="17.100000000000001" customHeight="1">
      <c r="A101" s="18" t="s">
        <v>197</v>
      </c>
      <c r="B101" s="19">
        <v>1810300627</v>
      </c>
      <c r="C101" s="19">
        <v>10</v>
      </c>
      <c r="D101" s="18" t="s">
        <v>208</v>
      </c>
      <c r="E101" s="18" t="s">
        <v>209</v>
      </c>
      <c r="F101" s="7">
        <v>85</v>
      </c>
      <c r="G101" s="7">
        <v>85</v>
      </c>
      <c r="H101" s="7">
        <v>80</v>
      </c>
      <c r="I101" s="7">
        <v>85</v>
      </c>
      <c r="J101" s="26">
        <v>100</v>
      </c>
      <c r="K101" s="26">
        <v>100</v>
      </c>
      <c r="L101" s="26">
        <v>95</v>
      </c>
      <c r="M101" s="1">
        <v>100</v>
      </c>
      <c r="N101" s="1">
        <v>100</v>
      </c>
      <c r="O101" s="1">
        <v>100</v>
      </c>
      <c r="P101" s="38">
        <f t="shared" si="8"/>
        <v>94.027777777777771</v>
      </c>
      <c r="Q101" s="38">
        <v>16</v>
      </c>
      <c r="R101" s="38">
        <v>6</v>
      </c>
      <c r="S101" s="38">
        <v>9</v>
      </c>
      <c r="T101" s="38">
        <v>10</v>
      </c>
      <c r="U101" s="38">
        <v>0</v>
      </c>
      <c r="V101" s="38">
        <v>4</v>
      </c>
      <c r="W101" s="38">
        <v>6</v>
      </c>
      <c r="X101" s="38">
        <v>4</v>
      </c>
      <c r="Y101" s="38">
        <v>5</v>
      </c>
      <c r="Z101" s="41">
        <f t="shared" si="9"/>
        <v>60</v>
      </c>
      <c r="AA101" s="38">
        <f t="shared" si="10"/>
        <v>94.027777777777771</v>
      </c>
      <c r="AB101" s="42">
        <f t="shared" si="11"/>
        <v>70.208333333333329</v>
      </c>
      <c r="AC101" s="38" t="s">
        <v>208</v>
      </c>
    </row>
    <row r="102" spans="1:29" ht="17.100000000000001" customHeight="1">
      <c r="A102" s="18" t="s">
        <v>197</v>
      </c>
      <c r="B102" s="19">
        <v>1810300628</v>
      </c>
      <c r="C102" s="19">
        <v>11</v>
      </c>
      <c r="D102" s="18" t="s">
        <v>210</v>
      </c>
      <c r="E102" s="18" t="s">
        <v>209</v>
      </c>
      <c r="F102" s="7">
        <v>0</v>
      </c>
      <c r="G102" s="7">
        <v>0</v>
      </c>
      <c r="H102" s="7">
        <v>0</v>
      </c>
      <c r="I102" s="7">
        <v>0</v>
      </c>
      <c r="J102" s="26">
        <v>100</v>
      </c>
      <c r="K102" s="26">
        <v>95</v>
      </c>
      <c r="L102" s="26">
        <v>95</v>
      </c>
      <c r="M102" s="1">
        <v>100</v>
      </c>
      <c r="N102" s="1">
        <v>100</v>
      </c>
      <c r="O102" s="1">
        <v>100</v>
      </c>
      <c r="P102" s="38">
        <f t="shared" si="8"/>
        <v>65.555555555555557</v>
      </c>
      <c r="Q102" s="38">
        <v>16</v>
      </c>
      <c r="R102" s="38">
        <v>7</v>
      </c>
      <c r="S102" s="38">
        <v>9</v>
      </c>
      <c r="T102" s="38">
        <v>10</v>
      </c>
      <c r="U102" s="38">
        <v>8</v>
      </c>
      <c r="V102" s="38">
        <v>2</v>
      </c>
      <c r="W102" s="38">
        <v>10</v>
      </c>
      <c r="X102" s="38">
        <v>3</v>
      </c>
      <c r="Y102" s="38">
        <v>4</v>
      </c>
      <c r="Z102" s="41">
        <f t="shared" si="9"/>
        <v>69</v>
      </c>
      <c r="AA102" s="38">
        <f t="shared" si="10"/>
        <v>65.555555555555557</v>
      </c>
      <c r="AB102" s="42">
        <f t="shared" si="11"/>
        <v>67.966666666666669</v>
      </c>
      <c r="AC102" s="38" t="s">
        <v>210</v>
      </c>
    </row>
    <row r="103" spans="1:29" ht="17.100000000000001" customHeight="1">
      <c r="A103" s="18" t="s">
        <v>197</v>
      </c>
      <c r="B103" s="19">
        <v>1810300629</v>
      </c>
      <c r="C103" s="19">
        <v>12</v>
      </c>
      <c r="D103" s="18" t="s">
        <v>211</v>
      </c>
      <c r="E103" s="18" t="s">
        <v>209</v>
      </c>
      <c r="F103" s="7">
        <v>90</v>
      </c>
      <c r="G103" s="7">
        <v>90</v>
      </c>
      <c r="H103" s="7">
        <v>85</v>
      </c>
      <c r="I103" s="7">
        <v>90</v>
      </c>
      <c r="J103" s="26">
        <v>100</v>
      </c>
      <c r="K103" s="26">
        <v>95</v>
      </c>
      <c r="L103" s="26">
        <v>95</v>
      </c>
      <c r="M103" s="1">
        <v>100</v>
      </c>
      <c r="N103" s="1">
        <v>100</v>
      </c>
      <c r="O103" s="1">
        <v>100</v>
      </c>
      <c r="P103" s="38">
        <f t="shared" si="8"/>
        <v>95.1388888888889</v>
      </c>
      <c r="Q103" s="38">
        <v>16</v>
      </c>
      <c r="R103" s="38">
        <v>6</v>
      </c>
      <c r="S103" s="38">
        <v>9</v>
      </c>
      <c r="T103" s="38">
        <v>0</v>
      </c>
      <c r="U103" s="38">
        <v>6</v>
      </c>
      <c r="V103" s="38">
        <v>2</v>
      </c>
      <c r="W103" s="38">
        <v>0</v>
      </c>
      <c r="X103" s="38">
        <v>1</v>
      </c>
      <c r="Y103" s="38">
        <v>2</v>
      </c>
      <c r="Z103" s="41">
        <f t="shared" si="9"/>
        <v>42</v>
      </c>
      <c r="AA103" s="38">
        <f t="shared" si="10"/>
        <v>95.1388888888889</v>
      </c>
      <c r="AB103" s="42">
        <f t="shared" si="11"/>
        <v>57.941666666666663</v>
      </c>
      <c r="AC103" s="38" t="s">
        <v>211</v>
      </c>
    </row>
    <row r="104" spans="1:29" ht="17.100000000000001" customHeight="1">
      <c r="A104" s="18" t="s">
        <v>197</v>
      </c>
      <c r="B104" s="19">
        <v>1810300709</v>
      </c>
      <c r="C104" s="19">
        <v>13</v>
      </c>
      <c r="D104" s="18" t="s">
        <v>212</v>
      </c>
      <c r="E104" s="18" t="s">
        <v>199</v>
      </c>
      <c r="F104" s="7">
        <v>80</v>
      </c>
      <c r="G104" s="7">
        <v>80</v>
      </c>
      <c r="H104" s="7">
        <v>80</v>
      </c>
      <c r="I104" s="7">
        <v>80</v>
      </c>
      <c r="J104" s="26">
        <v>1</v>
      </c>
      <c r="K104" s="26">
        <v>95</v>
      </c>
      <c r="L104" s="26">
        <v>95</v>
      </c>
      <c r="M104" s="1">
        <v>100</v>
      </c>
      <c r="N104" s="1">
        <v>100</v>
      </c>
      <c r="O104" s="1">
        <v>100</v>
      </c>
      <c r="P104" s="38">
        <f t="shared" si="8"/>
        <v>81.222222222222214</v>
      </c>
      <c r="Q104" s="38">
        <v>12</v>
      </c>
      <c r="R104" s="38">
        <v>4</v>
      </c>
      <c r="S104" s="38">
        <v>9</v>
      </c>
      <c r="T104" s="38">
        <v>10</v>
      </c>
      <c r="U104" s="38">
        <v>2</v>
      </c>
      <c r="V104" s="38">
        <v>4</v>
      </c>
      <c r="W104" s="38">
        <v>0</v>
      </c>
      <c r="X104" s="38">
        <v>9</v>
      </c>
      <c r="Y104" s="38">
        <v>4</v>
      </c>
      <c r="Z104" s="41">
        <f t="shared" si="9"/>
        <v>54</v>
      </c>
      <c r="AA104" s="38">
        <f t="shared" si="10"/>
        <v>81.222222222222214</v>
      </c>
      <c r="AB104" s="42">
        <f t="shared" si="11"/>
        <v>62.166666666666657</v>
      </c>
      <c r="AC104" s="38" t="s">
        <v>212</v>
      </c>
    </row>
    <row r="105" spans="1:29" ht="17.100000000000001" customHeight="1">
      <c r="A105" s="18" t="s">
        <v>197</v>
      </c>
      <c r="B105" s="19">
        <v>1810300721</v>
      </c>
      <c r="C105" s="19">
        <v>14</v>
      </c>
      <c r="D105" s="18" t="s">
        <v>213</v>
      </c>
      <c r="E105" s="18" t="s">
        <v>199</v>
      </c>
      <c r="F105" s="7">
        <v>75</v>
      </c>
      <c r="G105" s="7">
        <v>90</v>
      </c>
      <c r="H105" s="7">
        <v>75</v>
      </c>
      <c r="I105" s="7">
        <v>80</v>
      </c>
      <c r="J105" s="26">
        <v>1</v>
      </c>
      <c r="K105" s="26">
        <v>95</v>
      </c>
      <c r="L105" s="26">
        <v>100</v>
      </c>
      <c r="M105">
        <v>90</v>
      </c>
      <c r="N105" s="1">
        <v>100</v>
      </c>
      <c r="O105" s="1">
        <v>100</v>
      </c>
      <c r="P105" s="38">
        <f t="shared" si="8"/>
        <v>80.666666666666671</v>
      </c>
      <c r="Q105" s="38">
        <v>20</v>
      </c>
      <c r="R105" s="38">
        <v>9</v>
      </c>
      <c r="S105" s="38">
        <v>10</v>
      </c>
      <c r="T105" s="38">
        <v>10</v>
      </c>
      <c r="U105" s="38">
        <v>6</v>
      </c>
      <c r="V105" s="38">
        <v>10</v>
      </c>
      <c r="W105" s="38">
        <v>6</v>
      </c>
      <c r="X105" s="38">
        <v>10</v>
      </c>
      <c r="Y105" s="38">
        <v>5</v>
      </c>
      <c r="Z105" s="41">
        <f t="shared" si="9"/>
        <v>86</v>
      </c>
      <c r="AA105" s="38">
        <f t="shared" si="10"/>
        <v>80.666666666666671</v>
      </c>
      <c r="AB105" s="42">
        <f t="shared" si="11"/>
        <v>84.399999999999991</v>
      </c>
      <c r="AC105" s="38" t="s">
        <v>213</v>
      </c>
    </row>
    <row r="106" spans="1:29" ht="17.100000000000001" customHeight="1">
      <c r="A106" s="18" t="s">
        <v>197</v>
      </c>
      <c r="B106" s="19">
        <v>1810300819</v>
      </c>
      <c r="C106" s="19">
        <v>15</v>
      </c>
      <c r="D106" s="18" t="s">
        <v>214</v>
      </c>
      <c r="E106" s="18" t="s">
        <v>199</v>
      </c>
      <c r="F106" s="20">
        <v>80</v>
      </c>
      <c r="G106" s="20">
        <v>80</v>
      </c>
      <c r="H106" s="20">
        <v>80</v>
      </c>
      <c r="I106" s="20">
        <v>80</v>
      </c>
      <c r="J106" s="26">
        <v>90</v>
      </c>
      <c r="K106" s="26">
        <v>90</v>
      </c>
      <c r="L106" s="26">
        <v>90</v>
      </c>
      <c r="M106">
        <v>100</v>
      </c>
      <c r="N106">
        <v>100</v>
      </c>
      <c r="O106">
        <v>100</v>
      </c>
      <c r="P106" s="38">
        <f t="shared" si="8"/>
        <v>90</v>
      </c>
      <c r="Q106" s="38"/>
      <c r="R106" s="38"/>
      <c r="S106" s="38"/>
      <c r="T106" s="38"/>
      <c r="U106" s="38"/>
      <c r="V106" s="38"/>
      <c r="W106" s="38"/>
      <c r="X106" s="38"/>
      <c r="Y106" s="38"/>
      <c r="Z106" s="41">
        <f t="shared" si="9"/>
        <v>0</v>
      </c>
      <c r="AA106" s="38">
        <f t="shared" si="10"/>
        <v>90</v>
      </c>
      <c r="AB106" s="42">
        <f t="shared" si="11"/>
        <v>27</v>
      </c>
      <c r="AC106" s="38" t="s">
        <v>214</v>
      </c>
    </row>
    <row r="107" spans="1:29" ht="17.100000000000001" customHeight="1">
      <c r="A107" s="18" t="s">
        <v>197</v>
      </c>
      <c r="B107" s="19">
        <v>1810300916</v>
      </c>
      <c r="C107" s="19">
        <v>17</v>
      </c>
      <c r="D107" s="18" t="s">
        <v>215</v>
      </c>
      <c r="E107" s="18" t="s">
        <v>199</v>
      </c>
      <c r="F107" s="7">
        <v>90</v>
      </c>
      <c r="G107" s="7">
        <v>90</v>
      </c>
      <c r="H107" s="7">
        <v>90</v>
      </c>
      <c r="I107" s="7">
        <v>90</v>
      </c>
      <c r="J107" s="26">
        <v>100</v>
      </c>
      <c r="K107" s="26">
        <v>95</v>
      </c>
      <c r="L107" s="26">
        <v>95</v>
      </c>
      <c r="M107" s="1">
        <v>100</v>
      </c>
      <c r="N107" s="1">
        <v>100</v>
      </c>
      <c r="O107" s="1">
        <v>100</v>
      </c>
      <c r="P107" s="38">
        <f t="shared" si="8"/>
        <v>95.555555555555557</v>
      </c>
      <c r="Q107" s="38">
        <v>16</v>
      </c>
      <c r="R107" s="38">
        <v>8</v>
      </c>
      <c r="S107" s="38">
        <v>9</v>
      </c>
      <c r="T107" s="38">
        <v>10</v>
      </c>
      <c r="U107" s="38">
        <v>6</v>
      </c>
      <c r="V107" s="38">
        <v>0</v>
      </c>
      <c r="W107" s="38">
        <v>0</v>
      </c>
      <c r="X107" s="38">
        <v>1</v>
      </c>
      <c r="Y107" s="38">
        <v>4</v>
      </c>
      <c r="Z107" s="41">
        <f t="shared" si="9"/>
        <v>54</v>
      </c>
      <c r="AA107" s="38">
        <f t="shared" si="10"/>
        <v>95.555555555555557</v>
      </c>
      <c r="AB107" s="42">
        <f t="shared" si="11"/>
        <v>66.466666666666669</v>
      </c>
      <c r="AC107" s="38" t="s">
        <v>215</v>
      </c>
    </row>
    <row r="108" spans="1:29" ht="17.100000000000001" customHeight="1">
      <c r="A108" s="18" t="s">
        <v>197</v>
      </c>
      <c r="B108" s="19">
        <v>1810300920</v>
      </c>
      <c r="C108" s="19">
        <v>18</v>
      </c>
      <c r="D108" s="18" t="s">
        <v>216</v>
      </c>
      <c r="E108" s="18" t="s">
        <v>199</v>
      </c>
      <c r="F108" s="7">
        <v>95</v>
      </c>
      <c r="G108" s="7">
        <v>100</v>
      </c>
      <c r="H108" s="7">
        <v>95</v>
      </c>
      <c r="I108" s="7">
        <v>100</v>
      </c>
      <c r="J108" s="26">
        <v>100</v>
      </c>
      <c r="K108" s="26">
        <v>95</v>
      </c>
      <c r="L108" s="26">
        <v>95</v>
      </c>
      <c r="M108">
        <v>90</v>
      </c>
      <c r="N108" s="1">
        <v>100</v>
      </c>
      <c r="O108" s="1">
        <v>100</v>
      </c>
      <c r="P108" s="38">
        <f t="shared" si="8"/>
        <v>96.944444444444457</v>
      </c>
      <c r="Q108" s="38">
        <v>16</v>
      </c>
      <c r="R108" s="38">
        <v>7</v>
      </c>
      <c r="S108" s="38">
        <v>9</v>
      </c>
      <c r="T108" s="38">
        <v>10</v>
      </c>
      <c r="U108" s="38">
        <v>2</v>
      </c>
      <c r="V108" s="38">
        <v>4</v>
      </c>
      <c r="W108" s="38">
        <v>6</v>
      </c>
      <c r="X108" s="38">
        <v>7</v>
      </c>
      <c r="Y108" s="38">
        <v>4</v>
      </c>
      <c r="Z108" s="41">
        <f t="shared" si="9"/>
        <v>65</v>
      </c>
      <c r="AA108" s="38">
        <f t="shared" si="10"/>
        <v>96.944444444444457</v>
      </c>
      <c r="AB108" s="42">
        <f t="shared" si="11"/>
        <v>74.583333333333343</v>
      </c>
      <c r="AC108" s="38" t="s">
        <v>216</v>
      </c>
    </row>
    <row r="109" spans="1:29" ht="17.100000000000001" customHeight="1">
      <c r="A109" s="18" t="s">
        <v>197</v>
      </c>
      <c r="B109" s="19">
        <v>1810301019</v>
      </c>
      <c r="C109" s="19">
        <v>19</v>
      </c>
      <c r="D109" s="18" t="s">
        <v>217</v>
      </c>
      <c r="E109" s="18" t="s">
        <v>199</v>
      </c>
      <c r="F109" s="7">
        <v>85</v>
      </c>
      <c r="G109" s="7">
        <v>95</v>
      </c>
      <c r="H109" s="7">
        <v>85</v>
      </c>
      <c r="I109" s="7">
        <v>90</v>
      </c>
      <c r="J109" s="26">
        <v>100</v>
      </c>
      <c r="K109" s="26">
        <v>95</v>
      </c>
      <c r="L109" s="26">
        <v>95</v>
      </c>
      <c r="M109" s="1">
        <v>100</v>
      </c>
      <c r="N109" s="1">
        <v>100</v>
      </c>
      <c r="O109" s="7">
        <v>90</v>
      </c>
      <c r="P109" s="38">
        <f t="shared" si="8"/>
        <v>94.027777777777786</v>
      </c>
      <c r="Q109" s="38">
        <v>12</v>
      </c>
      <c r="R109" s="38">
        <v>8</v>
      </c>
      <c r="S109" s="38">
        <v>9</v>
      </c>
      <c r="T109" s="38">
        <v>10</v>
      </c>
      <c r="U109" s="38">
        <v>4</v>
      </c>
      <c r="V109" s="38">
        <v>2</v>
      </c>
      <c r="W109" s="38">
        <v>0</v>
      </c>
      <c r="X109" s="38">
        <v>6</v>
      </c>
      <c r="Y109" s="38">
        <v>3</v>
      </c>
      <c r="Z109" s="41">
        <f t="shared" si="9"/>
        <v>54</v>
      </c>
      <c r="AA109" s="38">
        <f t="shared" si="10"/>
        <v>94.027777777777786</v>
      </c>
      <c r="AB109" s="42">
        <f t="shared" si="11"/>
        <v>66.008333333333326</v>
      </c>
      <c r="AC109" s="38" t="s">
        <v>217</v>
      </c>
    </row>
    <row r="110" spans="1:29" ht="17.100000000000001" customHeight="1">
      <c r="A110" s="18" t="s">
        <v>197</v>
      </c>
      <c r="B110" s="19">
        <v>1810301001</v>
      </c>
      <c r="C110" s="19">
        <v>20</v>
      </c>
      <c r="D110" s="18" t="s">
        <v>218</v>
      </c>
      <c r="E110" s="18" t="s">
        <v>199</v>
      </c>
      <c r="F110" s="7">
        <v>80</v>
      </c>
      <c r="G110" s="7">
        <v>90</v>
      </c>
      <c r="H110" s="7">
        <v>85</v>
      </c>
      <c r="I110" s="7">
        <v>80</v>
      </c>
      <c r="J110" s="26">
        <v>100</v>
      </c>
      <c r="K110" s="26">
        <v>95</v>
      </c>
      <c r="L110" s="26">
        <v>100</v>
      </c>
      <c r="M110" s="1">
        <v>100</v>
      </c>
      <c r="N110" s="1">
        <v>100</v>
      </c>
      <c r="O110" s="1">
        <v>100</v>
      </c>
      <c r="P110" s="38">
        <f t="shared" si="8"/>
        <v>94.027777777777771</v>
      </c>
      <c r="Q110" s="38">
        <v>12</v>
      </c>
      <c r="R110" s="38">
        <v>7</v>
      </c>
      <c r="S110" s="38">
        <v>9</v>
      </c>
      <c r="T110" s="38">
        <v>10</v>
      </c>
      <c r="U110" s="38">
        <v>0</v>
      </c>
      <c r="V110" s="38">
        <v>6</v>
      </c>
      <c r="W110" s="38">
        <v>0</v>
      </c>
      <c r="X110" s="38">
        <v>10</v>
      </c>
      <c r="Y110" s="38">
        <v>0</v>
      </c>
      <c r="Z110" s="41">
        <f t="shared" si="9"/>
        <v>54</v>
      </c>
      <c r="AA110" s="38">
        <f t="shared" si="10"/>
        <v>94.027777777777771</v>
      </c>
      <c r="AB110" s="42">
        <f t="shared" si="11"/>
        <v>66.008333333333326</v>
      </c>
      <c r="AC110" s="38" t="s">
        <v>218</v>
      </c>
    </row>
    <row r="111" spans="1:29" ht="17.100000000000001" customHeight="1">
      <c r="A111" s="18" t="s">
        <v>197</v>
      </c>
      <c r="B111" s="19">
        <v>1810301002</v>
      </c>
      <c r="C111" s="19">
        <v>21</v>
      </c>
      <c r="D111" s="18" t="s">
        <v>219</v>
      </c>
      <c r="E111" s="18" t="s">
        <v>199</v>
      </c>
      <c r="F111" s="7">
        <v>70</v>
      </c>
      <c r="G111" s="7">
        <v>90</v>
      </c>
      <c r="H111" s="7">
        <v>80</v>
      </c>
      <c r="I111" s="7">
        <v>85</v>
      </c>
      <c r="J111" s="26">
        <v>100</v>
      </c>
      <c r="K111" s="26">
        <v>95</v>
      </c>
      <c r="L111" s="26">
        <v>95</v>
      </c>
      <c r="M111" s="1">
        <v>100</v>
      </c>
      <c r="N111" s="1">
        <v>100</v>
      </c>
      <c r="O111" s="1">
        <v>100</v>
      </c>
      <c r="P111" s="38">
        <f t="shared" si="8"/>
        <v>92.6388888888889</v>
      </c>
      <c r="Q111" s="38">
        <v>16</v>
      </c>
      <c r="R111" s="38">
        <v>7</v>
      </c>
      <c r="S111" s="38">
        <v>9</v>
      </c>
      <c r="T111" s="38">
        <v>10</v>
      </c>
      <c r="U111" s="38">
        <v>4</v>
      </c>
      <c r="V111" s="38">
        <v>4</v>
      </c>
      <c r="W111" s="38">
        <v>6</v>
      </c>
      <c r="X111" s="38">
        <v>7</v>
      </c>
      <c r="Y111" s="38">
        <v>4</v>
      </c>
      <c r="Z111" s="41">
        <f t="shared" si="9"/>
        <v>67</v>
      </c>
      <c r="AA111" s="38">
        <f t="shared" si="10"/>
        <v>92.6388888888889</v>
      </c>
      <c r="AB111" s="42">
        <f t="shared" si="11"/>
        <v>74.691666666666663</v>
      </c>
      <c r="AC111" s="38" t="s">
        <v>219</v>
      </c>
    </row>
    <row r="112" spans="1:29" ht="17.100000000000001" customHeight="1">
      <c r="A112" s="18" t="s">
        <v>197</v>
      </c>
      <c r="B112" s="19">
        <v>1810301005</v>
      </c>
      <c r="C112" s="19">
        <v>22</v>
      </c>
      <c r="D112" s="18" t="s">
        <v>220</v>
      </c>
      <c r="E112" s="18" t="s">
        <v>199</v>
      </c>
      <c r="F112" s="7">
        <v>100</v>
      </c>
      <c r="G112" s="7">
        <v>95</v>
      </c>
      <c r="H112" s="7">
        <v>80</v>
      </c>
      <c r="I112" s="7">
        <v>100</v>
      </c>
      <c r="J112" s="26">
        <v>100</v>
      </c>
      <c r="K112" s="26">
        <v>100</v>
      </c>
      <c r="L112" s="26">
        <v>95</v>
      </c>
      <c r="M112">
        <v>90</v>
      </c>
      <c r="N112">
        <v>100</v>
      </c>
      <c r="O112" s="1">
        <v>100</v>
      </c>
      <c r="P112" s="38">
        <f t="shared" si="8"/>
        <v>96.25</v>
      </c>
      <c r="Q112" s="38">
        <v>20</v>
      </c>
      <c r="R112" s="38">
        <v>6</v>
      </c>
      <c r="S112" s="38">
        <v>10</v>
      </c>
      <c r="T112" s="38">
        <v>10</v>
      </c>
      <c r="U112" s="38">
        <v>6</v>
      </c>
      <c r="V112" s="38">
        <v>8</v>
      </c>
      <c r="W112" s="38">
        <v>8</v>
      </c>
      <c r="X112" s="38">
        <v>8</v>
      </c>
      <c r="Y112" s="38">
        <v>6</v>
      </c>
      <c r="Z112" s="41">
        <f t="shared" si="9"/>
        <v>82</v>
      </c>
      <c r="AA112" s="38">
        <f t="shared" si="10"/>
        <v>96.25</v>
      </c>
      <c r="AB112" s="42">
        <f t="shared" si="11"/>
        <v>86.275000000000006</v>
      </c>
      <c r="AC112" s="38" t="s">
        <v>220</v>
      </c>
    </row>
    <row r="113" spans="1:29" ht="17.100000000000001" customHeight="1">
      <c r="A113" s="18" t="s">
        <v>197</v>
      </c>
      <c r="B113" s="19">
        <v>1810301015</v>
      </c>
      <c r="C113" s="19">
        <v>23</v>
      </c>
      <c r="D113" s="18" t="s">
        <v>221</v>
      </c>
      <c r="E113" s="18" t="s">
        <v>199</v>
      </c>
      <c r="F113" s="7">
        <v>85</v>
      </c>
      <c r="G113" s="7">
        <v>85</v>
      </c>
      <c r="H113" s="7">
        <v>85</v>
      </c>
      <c r="I113" s="7">
        <v>85</v>
      </c>
      <c r="J113" s="26">
        <v>100</v>
      </c>
      <c r="K113" s="26">
        <v>95</v>
      </c>
      <c r="L113" s="26">
        <v>95</v>
      </c>
      <c r="M113">
        <v>90</v>
      </c>
      <c r="N113" s="1">
        <v>100</v>
      </c>
      <c r="O113" s="1">
        <v>100</v>
      </c>
      <c r="P113" s="38">
        <f t="shared" si="8"/>
        <v>92.777777777777786</v>
      </c>
      <c r="Q113" s="38">
        <v>12</v>
      </c>
      <c r="R113" s="38">
        <v>5</v>
      </c>
      <c r="S113" s="38">
        <v>9</v>
      </c>
      <c r="T113" s="38">
        <v>10</v>
      </c>
      <c r="U113" s="38">
        <v>6</v>
      </c>
      <c r="V113" s="38">
        <v>4</v>
      </c>
      <c r="W113" s="38">
        <v>10</v>
      </c>
      <c r="X113" s="38">
        <v>10</v>
      </c>
      <c r="Y113" s="38">
        <v>6</v>
      </c>
      <c r="Z113" s="41">
        <f t="shared" si="9"/>
        <v>72</v>
      </c>
      <c r="AA113" s="38">
        <f t="shared" si="10"/>
        <v>92.777777777777786</v>
      </c>
      <c r="AB113" s="42">
        <f t="shared" si="11"/>
        <v>78.233333333333334</v>
      </c>
      <c r="AC113" s="38" t="s">
        <v>221</v>
      </c>
    </row>
    <row r="114" spans="1:29" ht="17.100000000000001" customHeight="1">
      <c r="A114" s="18" t="s">
        <v>197</v>
      </c>
      <c r="B114" s="19">
        <v>1810301020</v>
      </c>
      <c r="C114" s="19">
        <v>24</v>
      </c>
      <c r="D114" s="18" t="s">
        <v>222</v>
      </c>
      <c r="E114" s="18" t="s">
        <v>199</v>
      </c>
      <c r="F114" s="7">
        <v>85</v>
      </c>
      <c r="G114" s="7">
        <v>85</v>
      </c>
      <c r="H114" s="7">
        <v>80</v>
      </c>
      <c r="I114" s="7">
        <v>80</v>
      </c>
      <c r="J114" s="26">
        <v>100</v>
      </c>
      <c r="K114" s="26">
        <v>95</v>
      </c>
      <c r="L114" s="26">
        <v>95</v>
      </c>
      <c r="M114" s="1">
        <v>100</v>
      </c>
      <c r="N114" s="1">
        <v>100</v>
      </c>
      <c r="O114" s="1">
        <v>100</v>
      </c>
      <c r="P114" s="38">
        <f t="shared" si="8"/>
        <v>93.055555555555557</v>
      </c>
      <c r="Q114" s="38">
        <v>12</v>
      </c>
      <c r="R114" s="38">
        <v>6</v>
      </c>
      <c r="S114" s="38">
        <v>9</v>
      </c>
      <c r="T114" s="38">
        <v>10</v>
      </c>
      <c r="U114" s="38">
        <v>4</v>
      </c>
      <c r="V114" s="38">
        <v>6</v>
      </c>
      <c r="W114" s="38">
        <v>6</v>
      </c>
      <c r="X114" s="38">
        <v>10</v>
      </c>
      <c r="Y114" s="38">
        <v>5</v>
      </c>
      <c r="Z114" s="41">
        <f t="shared" si="9"/>
        <v>68</v>
      </c>
      <c r="AA114" s="38">
        <f t="shared" si="10"/>
        <v>93.055555555555557</v>
      </c>
      <c r="AB114" s="42">
        <f t="shared" si="11"/>
        <v>75.516666666666666</v>
      </c>
      <c r="AC114" s="38" t="s">
        <v>222</v>
      </c>
    </row>
    <row r="115" spans="1:29" ht="17.100000000000001" customHeight="1">
      <c r="A115" s="18" t="s">
        <v>197</v>
      </c>
      <c r="B115" s="19">
        <v>1810301128</v>
      </c>
      <c r="C115" s="19">
        <v>25</v>
      </c>
      <c r="D115" s="18" t="s">
        <v>223</v>
      </c>
      <c r="E115" s="18" t="s">
        <v>209</v>
      </c>
      <c r="F115" s="7">
        <v>100</v>
      </c>
      <c r="G115" s="7">
        <v>100</v>
      </c>
      <c r="H115" s="7">
        <v>100</v>
      </c>
      <c r="I115" s="7">
        <v>100</v>
      </c>
      <c r="J115" s="26">
        <v>100</v>
      </c>
      <c r="K115" s="26">
        <v>100</v>
      </c>
      <c r="L115" s="26">
        <v>100</v>
      </c>
      <c r="M115">
        <v>100</v>
      </c>
      <c r="N115" s="1">
        <v>100</v>
      </c>
      <c r="O115" s="1">
        <v>100</v>
      </c>
      <c r="P115" s="38">
        <f t="shared" si="8"/>
        <v>100</v>
      </c>
      <c r="Q115" s="38">
        <v>16</v>
      </c>
      <c r="R115" s="38">
        <v>8</v>
      </c>
      <c r="S115" s="38">
        <v>9</v>
      </c>
      <c r="T115" s="38">
        <v>10</v>
      </c>
      <c r="U115" s="38">
        <v>4</v>
      </c>
      <c r="V115" s="38">
        <v>8</v>
      </c>
      <c r="W115" s="38">
        <v>6</v>
      </c>
      <c r="X115" s="38">
        <v>2</v>
      </c>
      <c r="Y115" s="38">
        <v>6</v>
      </c>
      <c r="Z115" s="41">
        <f t="shared" si="9"/>
        <v>69</v>
      </c>
      <c r="AA115" s="38">
        <f t="shared" si="10"/>
        <v>100</v>
      </c>
      <c r="AB115" s="42">
        <f t="shared" si="11"/>
        <v>78.3</v>
      </c>
      <c r="AC115" s="38" t="s">
        <v>223</v>
      </c>
    </row>
    <row r="116" spans="1:29" ht="17.100000000000001" customHeight="1">
      <c r="A116" s="18" t="s">
        <v>197</v>
      </c>
      <c r="B116" s="19">
        <v>1810301107</v>
      </c>
      <c r="C116" s="19">
        <v>26</v>
      </c>
      <c r="D116" s="18" t="s">
        <v>224</v>
      </c>
      <c r="E116" s="18" t="s">
        <v>199</v>
      </c>
      <c r="F116" s="7">
        <v>80</v>
      </c>
      <c r="G116" s="7">
        <v>80</v>
      </c>
      <c r="H116" s="7">
        <v>85</v>
      </c>
      <c r="I116" s="7">
        <v>80</v>
      </c>
      <c r="J116" s="26">
        <v>100</v>
      </c>
      <c r="K116" s="26">
        <v>95</v>
      </c>
      <c r="L116" s="26">
        <v>100</v>
      </c>
      <c r="M116" s="1">
        <v>100</v>
      </c>
      <c r="N116" s="1">
        <v>100</v>
      </c>
      <c r="O116" s="1">
        <v>100</v>
      </c>
      <c r="P116" s="38">
        <f t="shared" si="8"/>
        <v>93.194444444444443</v>
      </c>
      <c r="Q116" s="38">
        <v>12</v>
      </c>
      <c r="R116" s="38">
        <v>7</v>
      </c>
      <c r="S116" s="38">
        <v>9</v>
      </c>
      <c r="T116" s="38">
        <v>10</v>
      </c>
      <c r="U116" s="38">
        <v>2</v>
      </c>
      <c r="V116" s="38">
        <v>4</v>
      </c>
      <c r="W116" s="38">
        <v>0</v>
      </c>
      <c r="X116" s="38">
        <v>2</v>
      </c>
      <c r="Y116" s="38">
        <v>2</v>
      </c>
      <c r="Z116" s="41">
        <f t="shared" si="9"/>
        <v>48</v>
      </c>
      <c r="AA116" s="38">
        <f t="shared" si="10"/>
        <v>93.194444444444443</v>
      </c>
      <c r="AB116" s="42">
        <f t="shared" si="11"/>
        <v>61.558333333333323</v>
      </c>
      <c r="AC116" s="38" t="s">
        <v>224</v>
      </c>
    </row>
    <row r="117" spans="1:29" ht="17.100000000000001" customHeight="1">
      <c r="A117" s="18" t="s">
        <v>197</v>
      </c>
      <c r="B117" s="19">
        <v>1810301110</v>
      </c>
      <c r="C117" s="19">
        <v>27</v>
      </c>
      <c r="D117" s="18" t="s">
        <v>225</v>
      </c>
      <c r="E117" s="18" t="s">
        <v>199</v>
      </c>
      <c r="F117" s="7">
        <v>80</v>
      </c>
      <c r="G117" s="7">
        <v>80</v>
      </c>
      <c r="H117" s="7">
        <v>80</v>
      </c>
      <c r="I117" s="7">
        <v>80</v>
      </c>
      <c r="J117" s="26">
        <v>100</v>
      </c>
      <c r="K117" s="26">
        <v>95</v>
      </c>
      <c r="L117" s="26">
        <v>95</v>
      </c>
      <c r="M117">
        <v>90</v>
      </c>
      <c r="N117">
        <v>100</v>
      </c>
      <c r="O117" s="1">
        <v>100</v>
      </c>
      <c r="P117" s="38">
        <f t="shared" si="8"/>
        <v>91.111111111111128</v>
      </c>
      <c r="Q117" s="38">
        <v>8</v>
      </c>
      <c r="R117" s="38">
        <v>7</v>
      </c>
      <c r="S117" s="38">
        <v>9</v>
      </c>
      <c r="T117" s="38">
        <v>10</v>
      </c>
      <c r="U117" s="38">
        <v>0</v>
      </c>
      <c r="V117" s="38">
        <v>4</v>
      </c>
      <c r="W117" s="38">
        <v>0</v>
      </c>
      <c r="X117" s="38">
        <v>6</v>
      </c>
      <c r="Y117" s="38">
        <v>3</v>
      </c>
      <c r="Z117" s="41">
        <f t="shared" si="9"/>
        <v>47</v>
      </c>
      <c r="AA117" s="38">
        <f t="shared" si="10"/>
        <v>91.111111111111128</v>
      </c>
      <c r="AB117" s="42">
        <f t="shared" si="11"/>
        <v>60.233333333333334</v>
      </c>
      <c r="AC117" s="38" t="s">
        <v>225</v>
      </c>
    </row>
    <row r="118" spans="1:29" ht="17.100000000000001" customHeight="1">
      <c r="A118" s="18" t="s">
        <v>197</v>
      </c>
      <c r="B118" s="19">
        <v>1810301117</v>
      </c>
      <c r="C118" s="19">
        <v>28</v>
      </c>
      <c r="D118" s="18" t="s">
        <v>226</v>
      </c>
      <c r="E118" s="18" t="s">
        <v>199</v>
      </c>
      <c r="F118" s="7">
        <v>80</v>
      </c>
      <c r="G118" s="7">
        <v>80</v>
      </c>
      <c r="H118" s="7">
        <v>80</v>
      </c>
      <c r="I118" s="7">
        <v>80</v>
      </c>
      <c r="J118" s="26">
        <v>100</v>
      </c>
      <c r="K118" s="26">
        <v>100</v>
      </c>
      <c r="L118" s="26">
        <v>95</v>
      </c>
      <c r="M118">
        <v>90</v>
      </c>
      <c r="N118" s="1">
        <v>100</v>
      </c>
      <c r="O118" s="1">
        <v>100</v>
      </c>
      <c r="P118" s="38">
        <f t="shared" si="8"/>
        <v>91.666666666666671</v>
      </c>
      <c r="Q118" s="38">
        <v>16</v>
      </c>
      <c r="R118" s="38">
        <v>8</v>
      </c>
      <c r="S118" s="38">
        <v>10</v>
      </c>
      <c r="T118" s="38">
        <v>10</v>
      </c>
      <c r="U118" s="38">
        <v>0</v>
      </c>
      <c r="V118" s="38">
        <v>4</v>
      </c>
      <c r="W118" s="38">
        <v>6</v>
      </c>
      <c r="X118" s="38">
        <v>4</v>
      </c>
      <c r="Y118" s="38">
        <v>4</v>
      </c>
      <c r="Z118" s="41">
        <f t="shared" si="9"/>
        <v>62</v>
      </c>
      <c r="AA118" s="38">
        <f t="shared" si="10"/>
        <v>91.666666666666671</v>
      </c>
      <c r="AB118" s="42">
        <f t="shared" si="11"/>
        <v>70.900000000000006</v>
      </c>
      <c r="AC118" s="38" t="s">
        <v>226</v>
      </c>
    </row>
    <row r="119" spans="1:29" ht="17.100000000000001" customHeight="1">
      <c r="A119" s="18" t="s">
        <v>197</v>
      </c>
      <c r="B119" s="19">
        <v>1810301202</v>
      </c>
      <c r="C119" s="19">
        <v>29</v>
      </c>
      <c r="D119" s="18" t="s">
        <v>227</v>
      </c>
      <c r="E119" s="18" t="s">
        <v>199</v>
      </c>
      <c r="F119" s="7">
        <v>100</v>
      </c>
      <c r="G119" s="7">
        <v>100</v>
      </c>
      <c r="H119" s="7">
        <v>100</v>
      </c>
      <c r="I119" s="7">
        <v>100</v>
      </c>
      <c r="J119" s="26">
        <v>100</v>
      </c>
      <c r="K119" s="26">
        <v>95</v>
      </c>
      <c r="L119" s="26">
        <v>95</v>
      </c>
      <c r="M119" s="1">
        <v>100</v>
      </c>
      <c r="N119" s="1">
        <v>100</v>
      </c>
      <c r="O119" s="1">
        <v>100</v>
      </c>
      <c r="P119" s="38">
        <f t="shared" si="8"/>
        <v>98.8888888888889</v>
      </c>
      <c r="Q119" s="38">
        <v>16</v>
      </c>
      <c r="R119" s="38">
        <v>9</v>
      </c>
      <c r="S119" s="38">
        <v>10</v>
      </c>
      <c r="T119" s="38">
        <v>10</v>
      </c>
      <c r="U119" s="38">
        <v>4</v>
      </c>
      <c r="V119" s="38">
        <v>8</v>
      </c>
      <c r="W119" s="38">
        <v>6</v>
      </c>
      <c r="X119" s="38">
        <v>10</v>
      </c>
      <c r="Y119" s="38">
        <v>7</v>
      </c>
      <c r="Z119" s="41">
        <f t="shared" si="9"/>
        <v>80</v>
      </c>
      <c r="AA119" s="38">
        <f t="shared" si="10"/>
        <v>98.8888888888889</v>
      </c>
      <c r="AB119" s="42">
        <f t="shared" si="11"/>
        <v>85.666666666666671</v>
      </c>
      <c r="AC119" s="38" t="s">
        <v>227</v>
      </c>
    </row>
    <row r="120" spans="1:29" ht="17.100000000000001" customHeight="1">
      <c r="A120" s="18" t="s">
        <v>197</v>
      </c>
      <c r="B120" s="19">
        <v>1810301205</v>
      </c>
      <c r="C120" s="19">
        <v>30</v>
      </c>
      <c r="D120" s="18" t="s">
        <v>228</v>
      </c>
      <c r="E120" s="18" t="s">
        <v>199</v>
      </c>
      <c r="F120" s="7">
        <v>95</v>
      </c>
      <c r="G120" s="7">
        <v>90</v>
      </c>
      <c r="H120" s="7">
        <v>85</v>
      </c>
      <c r="I120" s="7">
        <v>90</v>
      </c>
      <c r="J120" s="26">
        <v>100</v>
      </c>
      <c r="K120" s="26">
        <v>95</v>
      </c>
      <c r="L120" s="26">
        <v>100</v>
      </c>
      <c r="M120">
        <v>100</v>
      </c>
      <c r="N120" s="1">
        <v>100</v>
      </c>
      <c r="O120" s="1">
        <v>100</v>
      </c>
      <c r="P120" s="38">
        <f t="shared" si="8"/>
        <v>96.1111111111111</v>
      </c>
      <c r="Q120" s="38">
        <v>16</v>
      </c>
      <c r="R120" s="38">
        <v>6</v>
      </c>
      <c r="S120" s="38">
        <v>9</v>
      </c>
      <c r="T120" s="38">
        <v>10</v>
      </c>
      <c r="U120" s="38">
        <v>6</v>
      </c>
      <c r="V120" s="38">
        <v>6</v>
      </c>
      <c r="W120" s="38">
        <v>6</v>
      </c>
      <c r="X120" s="38">
        <v>3</v>
      </c>
      <c r="Y120" s="38">
        <v>6</v>
      </c>
      <c r="Z120" s="41">
        <f t="shared" si="9"/>
        <v>68</v>
      </c>
      <c r="AA120" s="38">
        <f t="shared" si="10"/>
        <v>96.1111111111111</v>
      </c>
      <c r="AB120" s="42">
        <f t="shared" si="11"/>
        <v>76.433333333333323</v>
      </c>
      <c r="AC120" s="38" t="s">
        <v>228</v>
      </c>
    </row>
    <row r="121" spans="1:29" ht="17.100000000000001" customHeight="1">
      <c r="A121" s="18" t="s">
        <v>197</v>
      </c>
      <c r="B121" s="19">
        <v>1710651207</v>
      </c>
      <c r="C121" s="19">
        <v>31</v>
      </c>
      <c r="D121" s="18" t="s">
        <v>229</v>
      </c>
      <c r="E121" s="18" t="s">
        <v>199</v>
      </c>
      <c r="F121" s="7">
        <v>0</v>
      </c>
      <c r="G121" s="7">
        <v>80</v>
      </c>
      <c r="H121" s="7">
        <v>80</v>
      </c>
      <c r="I121" s="7">
        <v>85</v>
      </c>
      <c r="J121" s="26">
        <v>100</v>
      </c>
      <c r="K121" s="26">
        <v>95</v>
      </c>
      <c r="L121" s="26">
        <v>95</v>
      </c>
      <c r="M121" s="1">
        <v>100</v>
      </c>
      <c r="N121" s="1">
        <v>100</v>
      </c>
      <c r="O121" s="1">
        <v>100</v>
      </c>
      <c r="P121" s="38">
        <f t="shared" si="8"/>
        <v>85.972222222222229</v>
      </c>
      <c r="Q121" s="38">
        <v>16</v>
      </c>
      <c r="R121" s="38">
        <v>7</v>
      </c>
      <c r="S121" s="38">
        <v>9</v>
      </c>
      <c r="T121" s="38">
        <v>0</v>
      </c>
      <c r="U121" s="38">
        <v>0</v>
      </c>
      <c r="V121" s="38">
        <v>2</v>
      </c>
      <c r="W121" s="38">
        <v>2</v>
      </c>
      <c r="X121" s="38">
        <v>0</v>
      </c>
      <c r="Y121" s="38">
        <v>5</v>
      </c>
      <c r="Z121" s="41">
        <f t="shared" si="9"/>
        <v>41</v>
      </c>
      <c r="AA121" s="38">
        <f t="shared" si="10"/>
        <v>85.972222222222229</v>
      </c>
      <c r="AB121" s="42">
        <f t="shared" si="11"/>
        <v>54.491666666666667</v>
      </c>
      <c r="AC121" s="38" t="s">
        <v>229</v>
      </c>
    </row>
    <row r="122" spans="1:29" s="1" customFormat="1" ht="17.100000000000001" customHeight="1">
      <c r="A122" s="14" t="s">
        <v>231</v>
      </c>
      <c r="B122" s="14" t="s">
        <v>232</v>
      </c>
      <c r="C122" s="14">
        <v>1</v>
      </c>
      <c r="D122" s="14" t="s">
        <v>233</v>
      </c>
      <c r="E122" s="14" t="s">
        <v>50</v>
      </c>
      <c r="F122" s="7">
        <v>85</v>
      </c>
      <c r="G122" s="7">
        <v>85</v>
      </c>
      <c r="H122" s="7">
        <v>80</v>
      </c>
      <c r="I122" s="7">
        <v>80</v>
      </c>
      <c r="J122" s="26">
        <v>100</v>
      </c>
      <c r="K122" s="26">
        <v>100</v>
      </c>
      <c r="L122" s="26">
        <v>95</v>
      </c>
      <c r="M122">
        <v>90</v>
      </c>
      <c r="N122">
        <v>90</v>
      </c>
      <c r="O122" s="1">
        <v>90</v>
      </c>
      <c r="P122" s="38">
        <f t="shared" si="8"/>
        <v>90.277777777777771</v>
      </c>
      <c r="Q122" s="38">
        <v>12</v>
      </c>
      <c r="R122" s="38">
        <v>5</v>
      </c>
      <c r="S122" s="38">
        <v>9</v>
      </c>
      <c r="T122" s="38">
        <v>10</v>
      </c>
      <c r="U122" s="38">
        <v>0</v>
      </c>
      <c r="V122" s="38">
        <v>2</v>
      </c>
      <c r="W122" s="38">
        <v>0</v>
      </c>
      <c r="X122" s="38">
        <v>2</v>
      </c>
      <c r="Y122" s="38">
        <v>4</v>
      </c>
      <c r="Z122" s="41">
        <f t="shared" si="9"/>
        <v>44</v>
      </c>
      <c r="AA122" s="38">
        <f t="shared" si="10"/>
        <v>90.277777777777771</v>
      </c>
      <c r="AB122" s="42">
        <f t="shared" si="11"/>
        <v>57.883333333333326</v>
      </c>
      <c r="AC122" s="38" t="s">
        <v>233</v>
      </c>
    </row>
    <row r="123" spans="1:29" s="1" customFormat="1" ht="17.100000000000001" customHeight="1">
      <c r="A123" s="14" t="s">
        <v>231</v>
      </c>
      <c r="B123" s="14" t="s">
        <v>234</v>
      </c>
      <c r="C123" s="14">
        <v>2</v>
      </c>
      <c r="D123" s="14" t="s">
        <v>235</v>
      </c>
      <c r="E123" s="14" t="s">
        <v>50</v>
      </c>
      <c r="F123" s="7">
        <v>80</v>
      </c>
      <c r="G123" s="7">
        <v>80</v>
      </c>
      <c r="H123" s="7">
        <v>80</v>
      </c>
      <c r="I123" s="7">
        <v>75</v>
      </c>
      <c r="J123" s="26">
        <v>100</v>
      </c>
      <c r="K123" s="26">
        <v>95</v>
      </c>
      <c r="L123" s="26">
        <v>95</v>
      </c>
      <c r="M123">
        <v>90</v>
      </c>
      <c r="N123" s="1">
        <v>100</v>
      </c>
      <c r="O123" s="1">
        <v>100</v>
      </c>
      <c r="P123" s="38">
        <f t="shared" si="8"/>
        <v>90.694444444444457</v>
      </c>
      <c r="Q123" s="38">
        <v>16</v>
      </c>
      <c r="R123" s="38">
        <v>7</v>
      </c>
      <c r="S123" s="38">
        <v>9</v>
      </c>
      <c r="T123" s="38">
        <v>10</v>
      </c>
      <c r="U123" s="38">
        <v>2</v>
      </c>
      <c r="V123" s="38">
        <v>8</v>
      </c>
      <c r="W123" s="38">
        <v>4</v>
      </c>
      <c r="X123" s="38">
        <v>5</v>
      </c>
      <c r="Y123" s="38">
        <v>4</v>
      </c>
      <c r="Z123" s="41">
        <f t="shared" si="9"/>
        <v>65</v>
      </c>
      <c r="AA123" s="38">
        <f t="shared" si="10"/>
        <v>90.694444444444457</v>
      </c>
      <c r="AB123" s="42">
        <f t="shared" si="11"/>
        <v>72.708333333333343</v>
      </c>
      <c r="AC123" s="38" t="s">
        <v>235</v>
      </c>
    </row>
    <row r="124" spans="1:29" s="1" customFormat="1" ht="17.100000000000001" customHeight="1">
      <c r="A124" s="14" t="s">
        <v>231</v>
      </c>
      <c r="B124" s="14" t="s">
        <v>236</v>
      </c>
      <c r="C124" s="14">
        <v>3</v>
      </c>
      <c r="D124" s="14" t="s">
        <v>237</v>
      </c>
      <c r="E124" s="14" t="s">
        <v>50</v>
      </c>
      <c r="F124" s="7">
        <v>85</v>
      </c>
      <c r="G124" s="7">
        <v>85</v>
      </c>
      <c r="H124" s="7">
        <v>0</v>
      </c>
      <c r="I124" s="7">
        <v>90</v>
      </c>
      <c r="J124" s="44">
        <v>0</v>
      </c>
      <c r="K124" s="26">
        <v>95</v>
      </c>
      <c r="L124" s="26">
        <v>100</v>
      </c>
      <c r="M124" s="1">
        <v>100</v>
      </c>
      <c r="N124" s="1">
        <v>100</v>
      </c>
      <c r="O124" s="1">
        <v>100</v>
      </c>
      <c r="P124" s="38">
        <f t="shared" si="8"/>
        <v>76.666666666666671</v>
      </c>
      <c r="Q124" s="38">
        <v>16</v>
      </c>
      <c r="R124" s="38">
        <v>4</v>
      </c>
      <c r="S124" s="38">
        <v>10</v>
      </c>
      <c r="T124" s="38">
        <v>10</v>
      </c>
      <c r="U124" s="38">
        <v>4</v>
      </c>
      <c r="V124" s="38">
        <v>6</v>
      </c>
      <c r="W124" s="38">
        <v>6</v>
      </c>
      <c r="X124" s="38">
        <v>5</v>
      </c>
      <c r="Y124" s="38">
        <v>2</v>
      </c>
      <c r="Z124" s="41">
        <f t="shared" si="9"/>
        <v>63</v>
      </c>
      <c r="AA124" s="38">
        <f t="shared" si="10"/>
        <v>76.666666666666671</v>
      </c>
      <c r="AB124" s="42">
        <f t="shared" si="11"/>
        <v>67.099999999999994</v>
      </c>
      <c r="AC124" s="38" t="s">
        <v>237</v>
      </c>
    </row>
    <row r="125" spans="1:29" s="1" customFormat="1" ht="17.100000000000001" customHeight="1">
      <c r="A125" s="14" t="s">
        <v>231</v>
      </c>
      <c r="B125" s="14" t="s">
        <v>238</v>
      </c>
      <c r="C125" s="14">
        <v>4</v>
      </c>
      <c r="D125" s="14" t="s">
        <v>239</v>
      </c>
      <c r="E125" s="14" t="s">
        <v>50</v>
      </c>
      <c r="F125" s="7">
        <v>0</v>
      </c>
      <c r="G125" s="7">
        <v>90</v>
      </c>
      <c r="H125" s="7">
        <v>80</v>
      </c>
      <c r="I125" s="7">
        <v>90</v>
      </c>
      <c r="J125" s="44">
        <v>100</v>
      </c>
      <c r="K125" s="26">
        <v>95</v>
      </c>
      <c r="L125" s="26">
        <v>95</v>
      </c>
      <c r="M125">
        <v>100</v>
      </c>
      <c r="N125" s="1">
        <v>100</v>
      </c>
      <c r="O125" s="1">
        <v>100</v>
      </c>
      <c r="P125" s="38">
        <f t="shared" si="8"/>
        <v>87.222222222222229</v>
      </c>
      <c r="Q125" s="38">
        <v>20</v>
      </c>
      <c r="R125" s="38">
        <v>9</v>
      </c>
      <c r="S125" s="38">
        <v>10</v>
      </c>
      <c r="T125" s="38">
        <v>10</v>
      </c>
      <c r="U125" s="38">
        <v>6</v>
      </c>
      <c r="V125" s="38">
        <v>6</v>
      </c>
      <c r="W125" s="38">
        <v>10</v>
      </c>
      <c r="X125" s="38">
        <v>10</v>
      </c>
      <c r="Y125" s="38">
        <v>5</v>
      </c>
      <c r="Z125" s="41">
        <f t="shared" si="9"/>
        <v>86</v>
      </c>
      <c r="AA125" s="38">
        <f t="shared" si="10"/>
        <v>87.222222222222229</v>
      </c>
      <c r="AB125" s="42">
        <f t="shared" si="11"/>
        <v>86.36666666666666</v>
      </c>
      <c r="AC125" s="38" t="s">
        <v>239</v>
      </c>
    </row>
    <row r="126" spans="1:29" s="1" customFormat="1" ht="17.100000000000001" customHeight="1">
      <c r="A126" s="14" t="s">
        <v>231</v>
      </c>
      <c r="B126" s="14" t="s">
        <v>240</v>
      </c>
      <c r="C126" s="14">
        <v>5</v>
      </c>
      <c r="D126" s="14" t="s">
        <v>241</v>
      </c>
      <c r="E126" s="14" t="s">
        <v>52</v>
      </c>
      <c r="F126" s="7">
        <v>90</v>
      </c>
      <c r="G126" s="7">
        <v>90</v>
      </c>
      <c r="H126" s="7">
        <v>80</v>
      </c>
      <c r="I126" s="7">
        <v>85</v>
      </c>
      <c r="J126" s="44">
        <v>100</v>
      </c>
      <c r="K126" s="26">
        <v>100</v>
      </c>
      <c r="L126" s="26">
        <v>95</v>
      </c>
      <c r="M126" s="1">
        <v>100</v>
      </c>
      <c r="N126" s="1">
        <v>100</v>
      </c>
      <c r="O126" s="1">
        <v>100</v>
      </c>
      <c r="P126" s="38">
        <f t="shared" si="8"/>
        <v>94.8611111111111</v>
      </c>
      <c r="Q126" s="38">
        <v>12</v>
      </c>
      <c r="R126" s="38">
        <v>9</v>
      </c>
      <c r="S126" s="38">
        <v>9</v>
      </c>
      <c r="T126" s="38">
        <v>4</v>
      </c>
      <c r="U126" s="38">
        <v>8</v>
      </c>
      <c r="V126" s="38">
        <v>6</v>
      </c>
      <c r="W126" s="38">
        <v>6</v>
      </c>
      <c r="X126" s="38">
        <v>3</v>
      </c>
      <c r="Y126" s="38">
        <v>6</v>
      </c>
      <c r="Z126" s="41">
        <f t="shared" si="9"/>
        <v>63</v>
      </c>
      <c r="AA126" s="38">
        <f t="shared" si="10"/>
        <v>94.8611111111111</v>
      </c>
      <c r="AB126" s="42">
        <f t="shared" si="11"/>
        <v>72.558333333333323</v>
      </c>
      <c r="AC126" s="38" t="s">
        <v>241</v>
      </c>
    </row>
    <row r="127" spans="1:29" s="1" customFormat="1" ht="17.100000000000001" customHeight="1">
      <c r="A127" s="14" t="s">
        <v>231</v>
      </c>
      <c r="B127" s="14" t="s">
        <v>242</v>
      </c>
      <c r="C127" s="14">
        <v>6</v>
      </c>
      <c r="D127" s="14" t="s">
        <v>243</v>
      </c>
      <c r="E127" s="14" t="s">
        <v>50</v>
      </c>
      <c r="F127" s="7">
        <v>90</v>
      </c>
      <c r="G127" s="7">
        <v>0</v>
      </c>
      <c r="H127" s="7">
        <v>95</v>
      </c>
      <c r="I127" s="7">
        <v>100</v>
      </c>
      <c r="J127" s="44">
        <v>100</v>
      </c>
      <c r="K127" s="26">
        <v>95</v>
      </c>
      <c r="L127" s="26">
        <v>95</v>
      </c>
      <c r="M127">
        <v>90</v>
      </c>
      <c r="N127">
        <v>100</v>
      </c>
      <c r="O127" s="1">
        <v>100</v>
      </c>
      <c r="P127" s="38">
        <f t="shared" si="8"/>
        <v>88.194444444444457</v>
      </c>
      <c r="Q127" s="38">
        <v>16</v>
      </c>
      <c r="R127" s="38">
        <v>6</v>
      </c>
      <c r="S127" s="38">
        <v>9</v>
      </c>
      <c r="T127" s="38">
        <v>10</v>
      </c>
      <c r="U127" s="38">
        <v>4</v>
      </c>
      <c r="V127" s="38">
        <v>8</v>
      </c>
      <c r="W127" s="38">
        <v>6</v>
      </c>
      <c r="X127" s="38">
        <v>8</v>
      </c>
      <c r="Y127" s="38">
        <v>4</v>
      </c>
      <c r="Z127" s="41">
        <f t="shared" si="9"/>
        <v>71</v>
      </c>
      <c r="AA127" s="38">
        <f t="shared" si="10"/>
        <v>88.194444444444457</v>
      </c>
      <c r="AB127" s="42">
        <f t="shared" si="11"/>
        <v>76.158333333333331</v>
      </c>
      <c r="AC127" s="38" t="s">
        <v>243</v>
      </c>
    </row>
    <row r="128" spans="1:29" s="1" customFormat="1" ht="17.100000000000001" customHeight="1">
      <c r="A128" s="14" t="s">
        <v>231</v>
      </c>
      <c r="B128" s="14" t="s">
        <v>244</v>
      </c>
      <c r="C128" s="14">
        <v>7</v>
      </c>
      <c r="D128" s="14" t="s">
        <v>245</v>
      </c>
      <c r="E128" s="14" t="s">
        <v>52</v>
      </c>
      <c r="F128" s="7">
        <v>90</v>
      </c>
      <c r="G128" s="7">
        <v>95</v>
      </c>
      <c r="H128" s="7">
        <v>90</v>
      </c>
      <c r="I128" s="7">
        <v>90</v>
      </c>
      <c r="J128" s="44">
        <v>100</v>
      </c>
      <c r="K128" s="26">
        <v>95</v>
      </c>
      <c r="L128" s="26">
        <v>100</v>
      </c>
      <c r="M128">
        <v>90</v>
      </c>
      <c r="N128" s="1">
        <v>100</v>
      </c>
      <c r="O128" s="1">
        <v>100</v>
      </c>
      <c r="P128" s="38">
        <f t="shared" si="8"/>
        <v>95.416666666666671</v>
      </c>
      <c r="Q128" s="38">
        <v>20</v>
      </c>
      <c r="R128" s="38">
        <v>3</v>
      </c>
      <c r="S128" s="38">
        <v>9</v>
      </c>
      <c r="T128" s="38">
        <v>10</v>
      </c>
      <c r="U128" s="38">
        <v>4</v>
      </c>
      <c r="V128" s="38">
        <v>6</v>
      </c>
      <c r="W128" s="38">
        <v>0</v>
      </c>
      <c r="X128" s="38">
        <v>6</v>
      </c>
      <c r="Y128" s="38">
        <v>3</v>
      </c>
      <c r="Z128" s="41">
        <f t="shared" si="9"/>
        <v>61</v>
      </c>
      <c r="AA128" s="38">
        <f t="shared" si="10"/>
        <v>95.416666666666671</v>
      </c>
      <c r="AB128" s="42">
        <f t="shared" si="11"/>
        <v>71.324999999999989</v>
      </c>
      <c r="AC128" s="38" t="s">
        <v>245</v>
      </c>
    </row>
    <row r="129" spans="1:29" s="1" customFormat="1" ht="17.100000000000001" customHeight="1">
      <c r="A129" s="14" t="s">
        <v>231</v>
      </c>
      <c r="B129" s="14" t="s">
        <v>246</v>
      </c>
      <c r="C129" s="14">
        <v>8</v>
      </c>
      <c r="D129" s="14" t="s">
        <v>247</v>
      </c>
      <c r="E129" s="14" t="s">
        <v>50</v>
      </c>
      <c r="F129" s="7">
        <v>80</v>
      </c>
      <c r="G129" s="7">
        <v>80</v>
      </c>
      <c r="H129" s="7">
        <v>0</v>
      </c>
      <c r="I129" s="7">
        <v>80</v>
      </c>
      <c r="J129" s="44">
        <v>100</v>
      </c>
      <c r="K129" s="26">
        <v>95</v>
      </c>
      <c r="L129" s="26">
        <v>95</v>
      </c>
      <c r="M129" s="1">
        <v>100</v>
      </c>
      <c r="N129" s="1">
        <v>100</v>
      </c>
      <c r="O129" s="1">
        <v>100</v>
      </c>
      <c r="P129" s="38">
        <f t="shared" si="8"/>
        <v>85.555555555555557</v>
      </c>
      <c r="Q129" s="38">
        <v>12</v>
      </c>
      <c r="R129" s="38">
        <v>8</v>
      </c>
      <c r="S129" s="38">
        <v>9</v>
      </c>
      <c r="T129" s="38">
        <v>6</v>
      </c>
      <c r="U129" s="38">
        <v>4</v>
      </c>
      <c r="V129" s="38">
        <v>6</v>
      </c>
      <c r="W129" s="38">
        <v>6</v>
      </c>
      <c r="X129" s="38">
        <v>1</v>
      </c>
      <c r="Y129" s="38">
        <v>4</v>
      </c>
      <c r="Z129" s="41">
        <f t="shared" si="9"/>
        <v>56</v>
      </c>
      <c r="AA129" s="38">
        <f t="shared" si="10"/>
        <v>85.555555555555557</v>
      </c>
      <c r="AB129" s="42">
        <f t="shared" si="11"/>
        <v>64.86666666666666</v>
      </c>
      <c r="AC129" s="38" t="s">
        <v>247</v>
      </c>
    </row>
    <row r="130" spans="1:29" s="1" customFormat="1" ht="17.100000000000001" customHeight="1">
      <c r="A130" s="14" t="s">
        <v>231</v>
      </c>
      <c r="B130" s="14" t="s">
        <v>248</v>
      </c>
      <c r="C130" s="14">
        <v>9</v>
      </c>
      <c r="D130" s="14" t="s">
        <v>249</v>
      </c>
      <c r="E130" s="14" t="s">
        <v>50</v>
      </c>
      <c r="F130" s="7">
        <v>80</v>
      </c>
      <c r="G130" s="7">
        <v>85</v>
      </c>
      <c r="H130" s="7">
        <v>80</v>
      </c>
      <c r="I130" s="7">
        <v>80</v>
      </c>
      <c r="J130" s="44">
        <v>100</v>
      </c>
      <c r="K130" s="26">
        <v>100</v>
      </c>
      <c r="L130" s="26">
        <v>95</v>
      </c>
      <c r="M130">
        <v>100</v>
      </c>
      <c r="N130" s="1">
        <v>100</v>
      </c>
      <c r="O130" s="1">
        <v>100</v>
      </c>
      <c r="P130" s="38">
        <f t="shared" si="8"/>
        <v>93.194444444444443</v>
      </c>
      <c r="Q130" s="38">
        <v>16</v>
      </c>
      <c r="R130" s="38">
        <v>8</v>
      </c>
      <c r="S130" s="38">
        <v>10</v>
      </c>
      <c r="T130" s="38">
        <v>10</v>
      </c>
      <c r="U130" s="38">
        <v>4</v>
      </c>
      <c r="V130" s="38">
        <v>8</v>
      </c>
      <c r="W130" s="38">
        <v>6</v>
      </c>
      <c r="X130" s="38">
        <v>10</v>
      </c>
      <c r="Y130" s="38">
        <v>4</v>
      </c>
      <c r="Z130" s="41">
        <f t="shared" si="9"/>
        <v>76</v>
      </c>
      <c r="AA130" s="38">
        <f t="shared" si="10"/>
        <v>93.194444444444443</v>
      </c>
      <c r="AB130" s="42">
        <f t="shared" si="11"/>
        <v>81.158333333333331</v>
      </c>
      <c r="AC130" s="38" t="s">
        <v>249</v>
      </c>
    </row>
    <row r="131" spans="1:29" s="1" customFormat="1" ht="17.100000000000001" customHeight="1">
      <c r="A131" s="14" t="s">
        <v>231</v>
      </c>
      <c r="B131" s="14" t="s">
        <v>250</v>
      </c>
      <c r="C131" s="14">
        <v>10</v>
      </c>
      <c r="D131" s="14" t="s">
        <v>251</v>
      </c>
      <c r="E131" s="14" t="s">
        <v>50</v>
      </c>
      <c r="F131" s="7">
        <v>95</v>
      </c>
      <c r="G131" s="7">
        <v>100</v>
      </c>
      <c r="H131" s="7">
        <v>90</v>
      </c>
      <c r="I131" s="7">
        <v>90</v>
      </c>
      <c r="J131" s="44">
        <v>100</v>
      </c>
      <c r="K131" s="26">
        <v>95</v>
      </c>
      <c r="L131" s="26">
        <v>95</v>
      </c>
      <c r="M131" s="1">
        <v>100</v>
      </c>
      <c r="N131" s="1">
        <v>100</v>
      </c>
      <c r="O131" s="1">
        <v>100</v>
      </c>
      <c r="P131" s="38">
        <f t="shared" si="8"/>
        <v>96.805555555555557</v>
      </c>
      <c r="Q131" s="38">
        <v>16</v>
      </c>
      <c r="R131" s="38">
        <v>8</v>
      </c>
      <c r="S131" s="38">
        <v>10</v>
      </c>
      <c r="T131" s="38">
        <v>10</v>
      </c>
      <c r="U131" s="38">
        <v>8</v>
      </c>
      <c r="V131" s="38">
        <v>8</v>
      </c>
      <c r="W131" s="38">
        <v>4</v>
      </c>
      <c r="X131" s="38">
        <v>4</v>
      </c>
      <c r="Y131" s="38">
        <v>4</v>
      </c>
      <c r="Z131" s="41">
        <f t="shared" si="9"/>
        <v>72</v>
      </c>
      <c r="AA131" s="38">
        <f t="shared" si="10"/>
        <v>96.805555555555557</v>
      </c>
      <c r="AB131" s="42">
        <f t="shared" si="11"/>
        <v>79.441666666666663</v>
      </c>
      <c r="AC131" s="38" t="s">
        <v>251</v>
      </c>
    </row>
    <row r="132" spans="1:29" s="1" customFormat="1" ht="17.100000000000001" customHeight="1">
      <c r="A132" s="7" t="s">
        <v>231</v>
      </c>
      <c r="B132" s="7" t="s">
        <v>252</v>
      </c>
      <c r="C132" s="14">
        <v>12</v>
      </c>
      <c r="D132" s="7" t="s">
        <v>253</v>
      </c>
      <c r="E132" s="7" t="s">
        <v>50</v>
      </c>
      <c r="F132" s="7">
        <v>80</v>
      </c>
      <c r="G132" s="7">
        <v>85</v>
      </c>
      <c r="H132" s="7">
        <v>80</v>
      </c>
      <c r="I132" s="7">
        <v>80</v>
      </c>
      <c r="J132" s="44">
        <v>100</v>
      </c>
      <c r="K132" s="26">
        <v>95</v>
      </c>
      <c r="L132" s="26">
        <v>95</v>
      </c>
      <c r="M132">
        <v>90</v>
      </c>
      <c r="N132">
        <v>100</v>
      </c>
      <c r="O132" s="1">
        <v>100</v>
      </c>
      <c r="P132" s="38">
        <f t="shared" ref="P132:P150" si="12">(AVERAGE(F132:I132)+AVERAGE(J132:L132)+AVERAGE(M132:O132))/3</f>
        <v>91.527777777777786</v>
      </c>
      <c r="Q132" s="38">
        <v>16</v>
      </c>
      <c r="R132" s="38">
        <v>8</v>
      </c>
      <c r="S132" s="38">
        <v>8</v>
      </c>
      <c r="T132" s="38">
        <v>10</v>
      </c>
      <c r="U132" s="38">
        <v>0</v>
      </c>
      <c r="V132" s="38">
        <v>8</v>
      </c>
      <c r="W132" s="38">
        <v>8</v>
      </c>
      <c r="X132" s="38">
        <v>5</v>
      </c>
      <c r="Y132" s="38">
        <v>2</v>
      </c>
      <c r="Z132" s="41">
        <f t="shared" ref="Z132:Z150" si="13">SUM(Q132:Y132)</f>
        <v>65</v>
      </c>
      <c r="AA132" s="38">
        <f t="shared" ref="AA132:AA150" si="14">P132</f>
        <v>91.527777777777786</v>
      </c>
      <c r="AB132" s="42">
        <f t="shared" ref="AB132:AB150" si="15">Z132*0.7+AA132*0.3</f>
        <v>72.958333333333343</v>
      </c>
      <c r="AC132" s="38" t="s">
        <v>253</v>
      </c>
    </row>
    <row r="133" spans="1:29" s="1" customFormat="1" ht="17.100000000000001" customHeight="1">
      <c r="A133" s="7" t="s">
        <v>231</v>
      </c>
      <c r="B133" s="7" t="s">
        <v>254</v>
      </c>
      <c r="C133" s="14">
        <v>13</v>
      </c>
      <c r="D133" s="7" t="s">
        <v>255</v>
      </c>
      <c r="E133" s="7" t="s">
        <v>50</v>
      </c>
      <c r="F133" s="7">
        <v>80</v>
      </c>
      <c r="G133" s="7">
        <v>80</v>
      </c>
      <c r="H133" s="7">
        <v>80</v>
      </c>
      <c r="I133" s="7">
        <v>80</v>
      </c>
      <c r="J133" s="44">
        <v>100</v>
      </c>
      <c r="K133" s="26">
        <v>100</v>
      </c>
      <c r="L133" s="26">
        <v>95</v>
      </c>
      <c r="M133">
        <v>90</v>
      </c>
      <c r="N133" s="1">
        <v>100</v>
      </c>
      <c r="O133" s="1">
        <v>100</v>
      </c>
      <c r="P133" s="38">
        <f t="shared" si="12"/>
        <v>91.666666666666671</v>
      </c>
      <c r="Q133" s="38">
        <v>16</v>
      </c>
      <c r="R133" s="38">
        <v>4</v>
      </c>
      <c r="S133" s="38">
        <v>9</v>
      </c>
      <c r="T133" s="38">
        <v>10</v>
      </c>
      <c r="U133" s="38">
        <v>2</v>
      </c>
      <c r="V133" s="38">
        <v>0</v>
      </c>
      <c r="W133" s="38">
        <v>0</v>
      </c>
      <c r="X133" s="38">
        <v>1</v>
      </c>
      <c r="Y133" s="38">
        <v>4</v>
      </c>
      <c r="Z133" s="41">
        <f t="shared" si="13"/>
        <v>46</v>
      </c>
      <c r="AA133" s="38">
        <f t="shared" si="14"/>
        <v>91.666666666666671</v>
      </c>
      <c r="AB133" s="42">
        <f t="shared" si="15"/>
        <v>59.699999999999996</v>
      </c>
      <c r="AC133" s="38" t="s">
        <v>255</v>
      </c>
    </row>
    <row r="134" spans="1:29" s="1" customFormat="1" ht="17.100000000000001" customHeight="1">
      <c r="A134" s="14" t="s">
        <v>231</v>
      </c>
      <c r="B134" s="14" t="s">
        <v>256</v>
      </c>
      <c r="C134" s="14">
        <v>14</v>
      </c>
      <c r="D134" s="14" t="s">
        <v>257</v>
      </c>
      <c r="E134" s="14" t="s">
        <v>50</v>
      </c>
      <c r="F134" s="7">
        <v>90</v>
      </c>
      <c r="G134" s="7">
        <v>100</v>
      </c>
      <c r="H134" s="7">
        <v>90</v>
      </c>
      <c r="I134" s="7">
        <v>90</v>
      </c>
      <c r="J134" s="44">
        <v>100</v>
      </c>
      <c r="K134" s="26">
        <v>95</v>
      </c>
      <c r="L134" s="26">
        <v>95</v>
      </c>
      <c r="M134" s="1">
        <v>100</v>
      </c>
      <c r="N134" s="1">
        <v>100</v>
      </c>
      <c r="O134" s="1">
        <v>100</v>
      </c>
      <c r="P134" s="38">
        <f t="shared" si="12"/>
        <v>96.3888888888889</v>
      </c>
      <c r="Q134" s="38">
        <v>16</v>
      </c>
      <c r="R134" s="38">
        <v>6</v>
      </c>
      <c r="S134" s="38">
        <v>10</v>
      </c>
      <c r="T134" s="38">
        <v>10</v>
      </c>
      <c r="U134" s="38">
        <v>0</v>
      </c>
      <c r="V134" s="38">
        <v>4</v>
      </c>
      <c r="W134" s="38">
        <v>8</v>
      </c>
      <c r="X134" s="38">
        <v>10</v>
      </c>
      <c r="Y134" s="38">
        <v>6</v>
      </c>
      <c r="Z134" s="41">
        <f t="shared" si="13"/>
        <v>70</v>
      </c>
      <c r="AA134" s="38">
        <f t="shared" si="14"/>
        <v>96.3888888888889</v>
      </c>
      <c r="AB134" s="42">
        <f t="shared" si="15"/>
        <v>77.916666666666671</v>
      </c>
      <c r="AC134" s="38" t="s">
        <v>257</v>
      </c>
    </row>
    <row r="135" spans="1:29" s="1" customFormat="1" ht="17.100000000000001" customHeight="1">
      <c r="A135" s="14" t="s">
        <v>231</v>
      </c>
      <c r="B135" s="14" t="s">
        <v>258</v>
      </c>
      <c r="C135" s="14">
        <v>15</v>
      </c>
      <c r="D135" s="14" t="s">
        <v>259</v>
      </c>
      <c r="E135" s="14" t="s">
        <v>50</v>
      </c>
      <c r="F135" s="7">
        <v>85</v>
      </c>
      <c r="G135" s="7">
        <v>80</v>
      </c>
      <c r="H135" s="7">
        <v>80</v>
      </c>
      <c r="I135" s="7">
        <v>80</v>
      </c>
      <c r="J135" s="44">
        <v>0</v>
      </c>
      <c r="K135" s="26">
        <v>95</v>
      </c>
      <c r="L135" s="26">
        <v>100</v>
      </c>
      <c r="M135">
        <v>100</v>
      </c>
      <c r="N135" s="1">
        <v>100</v>
      </c>
      <c r="O135" s="1">
        <v>100</v>
      </c>
      <c r="P135" s="38">
        <f t="shared" si="12"/>
        <v>82.083333333333329</v>
      </c>
      <c r="Q135" s="38">
        <v>20</v>
      </c>
      <c r="R135" s="38">
        <v>9</v>
      </c>
      <c r="S135" s="38">
        <v>10</v>
      </c>
      <c r="T135" s="38">
        <v>6</v>
      </c>
      <c r="U135" s="38">
        <v>4</v>
      </c>
      <c r="V135" s="38">
        <v>6</v>
      </c>
      <c r="W135" s="38">
        <v>6</v>
      </c>
      <c r="X135" s="38">
        <v>5</v>
      </c>
      <c r="Y135" s="38">
        <v>5</v>
      </c>
      <c r="Z135" s="41">
        <f t="shared" si="13"/>
        <v>71</v>
      </c>
      <c r="AA135" s="38">
        <f t="shared" si="14"/>
        <v>82.083333333333329</v>
      </c>
      <c r="AB135" s="42">
        <f t="shared" si="15"/>
        <v>74.324999999999989</v>
      </c>
      <c r="AC135" s="38" t="s">
        <v>259</v>
      </c>
    </row>
    <row r="136" spans="1:29" s="1" customFormat="1" ht="17.100000000000001" customHeight="1">
      <c r="A136" s="14" t="s">
        <v>231</v>
      </c>
      <c r="B136" s="14" t="s">
        <v>260</v>
      </c>
      <c r="C136" s="14">
        <v>16</v>
      </c>
      <c r="D136" s="14" t="s">
        <v>261</v>
      </c>
      <c r="E136" s="14" t="s">
        <v>50</v>
      </c>
      <c r="F136" s="7">
        <v>80</v>
      </c>
      <c r="G136" s="7">
        <v>80</v>
      </c>
      <c r="H136" s="7">
        <v>80</v>
      </c>
      <c r="I136" s="7">
        <v>85</v>
      </c>
      <c r="J136" s="44">
        <v>0</v>
      </c>
      <c r="K136" s="26">
        <v>95</v>
      </c>
      <c r="L136" s="26">
        <v>95</v>
      </c>
      <c r="M136" s="1">
        <v>100</v>
      </c>
      <c r="N136" s="1">
        <v>100</v>
      </c>
      <c r="O136" s="1">
        <v>100</v>
      </c>
      <c r="P136" s="38">
        <f t="shared" si="12"/>
        <v>81.527777777777786</v>
      </c>
      <c r="Q136" s="38">
        <v>16</v>
      </c>
      <c r="R136" s="38">
        <v>4</v>
      </c>
      <c r="S136" s="38">
        <v>9</v>
      </c>
      <c r="T136" s="38">
        <v>10</v>
      </c>
      <c r="U136" s="38">
        <v>6</v>
      </c>
      <c r="V136" s="38">
        <v>4</v>
      </c>
      <c r="W136" s="38">
        <v>0</v>
      </c>
      <c r="X136" s="38">
        <v>3</v>
      </c>
      <c r="Y136" s="38">
        <v>3</v>
      </c>
      <c r="Z136" s="41">
        <f t="shared" si="13"/>
        <v>55</v>
      </c>
      <c r="AA136" s="38">
        <f t="shared" si="14"/>
        <v>81.527777777777786</v>
      </c>
      <c r="AB136" s="42">
        <f t="shared" si="15"/>
        <v>62.958333333333336</v>
      </c>
      <c r="AC136" s="38" t="s">
        <v>261</v>
      </c>
    </row>
    <row r="137" spans="1:29" s="1" customFormat="1" ht="17.100000000000001" customHeight="1">
      <c r="A137" s="14" t="s">
        <v>231</v>
      </c>
      <c r="B137" s="14" t="s">
        <v>262</v>
      </c>
      <c r="C137" s="14">
        <v>17</v>
      </c>
      <c r="D137" s="14" t="s">
        <v>263</v>
      </c>
      <c r="E137" s="14" t="s">
        <v>50</v>
      </c>
      <c r="F137" s="7">
        <v>80</v>
      </c>
      <c r="G137" s="7">
        <v>80</v>
      </c>
      <c r="H137" s="7">
        <v>85</v>
      </c>
      <c r="I137" s="7">
        <v>80</v>
      </c>
      <c r="J137" s="44">
        <v>100</v>
      </c>
      <c r="K137" s="26">
        <v>100</v>
      </c>
      <c r="L137" s="26">
        <v>95</v>
      </c>
      <c r="M137">
        <v>90</v>
      </c>
      <c r="N137">
        <v>100</v>
      </c>
      <c r="O137" s="1">
        <v>100</v>
      </c>
      <c r="P137" s="38">
        <f t="shared" si="12"/>
        <v>92.083333333333329</v>
      </c>
      <c r="Q137" s="38">
        <v>12</v>
      </c>
      <c r="R137" s="38">
        <v>3</v>
      </c>
      <c r="S137" s="38">
        <v>10</v>
      </c>
      <c r="T137" s="38">
        <v>6</v>
      </c>
      <c r="U137" s="38">
        <v>2</v>
      </c>
      <c r="V137" s="38">
        <v>4</v>
      </c>
      <c r="W137" s="38">
        <v>0</v>
      </c>
      <c r="X137" s="38">
        <v>9</v>
      </c>
      <c r="Y137" s="38">
        <v>2</v>
      </c>
      <c r="Z137" s="41">
        <f t="shared" si="13"/>
        <v>48</v>
      </c>
      <c r="AA137" s="38">
        <f t="shared" si="14"/>
        <v>92.083333333333329</v>
      </c>
      <c r="AB137" s="42">
        <f t="shared" si="15"/>
        <v>61.224999999999994</v>
      </c>
      <c r="AC137" s="38" t="s">
        <v>263</v>
      </c>
    </row>
    <row r="138" spans="1:29" s="1" customFormat="1" ht="17.100000000000001" customHeight="1">
      <c r="A138" s="14" t="s">
        <v>231</v>
      </c>
      <c r="B138" s="14" t="s">
        <v>264</v>
      </c>
      <c r="C138" s="14">
        <v>18</v>
      </c>
      <c r="D138" s="14" t="s">
        <v>265</v>
      </c>
      <c r="E138" s="14" t="s">
        <v>50</v>
      </c>
      <c r="F138" s="7">
        <v>95</v>
      </c>
      <c r="G138" s="7">
        <v>85</v>
      </c>
      <c r="H138" s="7">
        <v>80</v>
      </c>
      <c r="I138" s="7">
        <v>90</v>
      </c>
      <c r="J138" s="44">
        <v>0</v>
      </c>
      <c r="K138" s="26">
        <v>100</v>
      </c>
      <c r="L138" s="26">
        <v>95</v>
      </c>
      <c r="M138">
        <v>90</v>
      </c>
      <c r="N138" s="1">
        <v>100</v>
      </c>
      <c r="O138" s="1">
        <v>100</v>
      </c>
      <c r="P138" s="38">
        <f t="shared" si="12"/>
        <v>83.055555555555557</v>
      </c>
      <c r="Q138" s="38">
        <v>16</v>
      </c>
      <c r="R138" s="38">
        <v>7</v>
      </c>
      <c r="S138" s="38">
        <v>10</v>
      </c>
      <c r="T138" s="38">
        <v>10</v>
      </c>
      <c r="U138" s="38">
        <v>6</v>
      </c>
      <c r="V138" s="38">
        <v>8</v>
      </c>
      <c r="W138" s="38">
        <v>2</v>
      </c>
      <c r="X138" s="38">
        <v>1</v>
      </c>
      <c r="Y138" s="38">
        <v>5</v>
      </c>
      <c r="Z138" s="41">
        <f t="shared" si="13"/>
        <v>65</v>
      </c>
      <c r="AA138" s="38">
        <f t="shared" si="14"/>
        <v>83.055555555555557</v>
      </c>
      <c r="AB138" s="42">
        <f t="shared" si="15"/>
        <v>70.416666666666671</v>
      </c>
      <c r="AC138" s="38" t="s">
        <v>265</v>
      </c>
    </row>
    <row r="139" spans="1:29" s="1" customFormat="1" ht="17.100000000000001" customHeight="1">
      <c r="A139" s="14" t="s">
        <v>231</v>
      </c>
      <c r="B139" s="14" t="s">
        <v>266</v>
      </c>
      <c r="C139" s="14">
        <v>19</v>
      </c>
      <c r="D139" s="14" t="s">
        <v>267</v>
      </c>
      <c r="E139" s="14" t="s">
        <v>52</v>
      </c>
      <c r="F139" s="7">
        <v>80</v>
      </c>
      <c r="G139" s="7">
        <v>90</v>
      </c>
      <c r="H139" s="7">
        <v>85</v>
      </c>
      <c r="I139" s="7">
        <v>90</v>
      </c>
      <c r="J139" s="44">
        <v>100</v>
      </c>
      <c r="K139" s="26">
        <v>95</v>
      </c>
      <c r="L139" s="26">
        <v>100</v>
      </c>
      <c r="M139" s="1">
        <v>100</v>
      </c>
      <c r="N139" s="1">
        <v>100</v>
      </c>
      <c r="O139" s="1">
        <v>100</v>
      </c>
      <c r="P139" s="38">
        <f t="shared" si="12"/>
        <v>94.8611111111111</v>
      </c>
      <c r="Q139" s="38">
        <v>12</v>
      </c>
      <c r="R139" s="38">
        <v>4</v>
      </c>
      <c r="S139" s="38">
        <v>9</v>
      </c>
      <c r="T139" s="38">
        <v>10</v>
      </c>
      <c r="U139" s="38">
        <v>0</v>
      </c>
      <c r="V139" s="38">
        <v>6</v>
      </c>
      <c r="W139" s="38">
        <v>6</v>
      </c>
      <c r="X139" s="38">
        <v>10</v>
      </c>
      <c r="Y139" s="38">
        <v>4</v>
      </c>
      <c r="Z139" s="41">
        <f t="shared" si="13"/>
        <v>61</v>
      </c>
      <c r="AA139" s="38">
        <f t="shared" si="14"/>
        <v>94.8611111111111</v>
      </c>
      <c r="AB139" s="42">
        <f t="shared" si="15"/>
        <v>71.158333333333331</v>
      </c>
      <c r="AC139" s="38" t="s">
        <v>267</v>
      </c>
    </row>
    <row r="140" spans="1:29" s="1" customFormat="1" ht="17.100000000000001" customHeight="1">
      <c r="A140" s="14" t="s">
        <v>231</v>
      </c>
      <c r="B140" s="14" t="s">
        <v>268</v>
      </c>
      <c r="C140" s="14">
        <v>20</v>
      </c>
      <c r="D140" s="14" t="s">
        <v>269</v>
      </c>
      <c r="E140" s="14" t="s">
        <v>50</v>
      </c>
      <c r="F140" s="7">
        <v>85</v>
      </c>
      <c r="G140" s="7">
        <v>85</v>
      </c>
      <c r="H140" s="7">
        <v>80</v>
      </c>
      <c r="I140" s="7">
        <v>80</v>
      </c>
      <c r="J140" s="44">
        <v>100</v>
      </c>
      <c r="K140" s="26">
        <v>95</v>
      </c>
      <c r="L140" s="26">
        <v>95</v>
      </c>
      <c r="M140">
        <v>100</v>
      </c>
      <c r="N140" s="1">
        <v>100</v>
      </c>
      <c r="O140" s="1">
        <v>100</v>
      </c>
      <c r="P140" s="38">
        <f t="shared" si="12"/>
        <v>93.055555555555557</v>
      </c>
      <c r="Q140" s="38">
        <v>16</v>
      </c>
      <c r="R140" s="38">
        <v>9</v>
      </c>
      <c r="S140" s="38">
        <v>10</v>
      </c>
      <c r="T140" s="38">
        <v>10</v>
      </c>
      <c r="U140" s="38">
        <v>0</v>
      </c>
      <c r="V140" s="38">
        <v>0</v>
      </c>
      <c r="W140" s="38">
        <v>0</v>
      </c>
      <c r="X140" s="38">
        <v>5</v>
      </c>
      <c r="Y140" s="38">
        <v>5</v>
      </c>
      <c r="Z140" s="41">
        <f t="shared" si="13"/>
        <v>55</v>
      </c>
      <c r="AA140" s="38">
        <f t="shared" si="14"/>
        <v>93.055555555555557</v>
      </c>
      <c r="AB140" s="42">
        <f t="shared" si="15"/>
        <v>66.416666666666671</v>
      </c>
      <c r="AC140" s="38" t="s">
        <v>269</v>
      </c>
    </row>
    <row r="141" spans="1:29" s="1" customFormat="1" ht="17.100000000000001" customHeight="1">
      <c r="A141" s="14" t="s">
        <v>231</v>
      </c>
      <c r="B141" s="14" t="s">
        <v>270</v>
      </c>
      <c r="C141" s="14">
        <v>21</v>
      </c>
      <c r="D141" s="14" t="s">
        <v>271</v>
      </c>
      <c r="E141" s="14" t="s">
        <v>50</v>
      </c>
      <c r="F141" s="7">
        <v>90</v>
      </c>
      <c r="G141" s="7">
        <v>90</v>
      </c>
      <c r="H141" s="7">
        <v>85</v>
      </c>
      <c r="I141" s="7">
        <v>80</v>
      </c>
      <c r="J141" s="44">
        <v>100</v>
      </c>
      <c r="K141" s="26">
        <v>100</v>
      </c>
      <c r="L141" s="26">
        <v>95</v>
      </c>
      <c r="M141" s="1">
        <v>100</v>
      </c>
      <c r="N141" s="1">
        <v>100</v>
      </c>
      <c r="O141" s="1">
        <v>100</v>
      </c>
      <c r="P141" s="38">
        <f t="shared" si="12"/>
        <v>94.8611111111111</v>
      </c>
      <c r="Q141" s="38">
        <v>16</v>
      </c>
      <c r="R141" s="38">
        <v>4</v>
      </c>
      <c r="S141" s="38">
        <v>10</v>
      </c>
      <c r="T141" s="38">
        <v>8</v>
      </c>
      <c r="U141" s="38">
        <v>4</v>
      </c>
      <c r="V141" s="38">
        <v>6</v>
      </c>
      <c r="W141" s="38">
        <v>8</v>
      </c>
      <c r="X141" s="38">
        <v>5</v>
      </c>
      <c r="Y141" s="38">
        <v>4</v>
      </c>
      <c r="Z141" s="41">
        <f t="shared" si="13"/>
        <v>65</v>
      </c>
      <c r="AA141" s="38">
        <f t="shared" si="14"/>
        <v>94.8611111111111</v>
      </c>
      <c r="AB141" s="42">
        <f t="shared" si="15"/>
        <v>73.958333333333329</v>
      </c>
      <c r="AC141" s="38" t="s">
        <v>271</v>
      </c>
    </row>
    <row r="142" spans="1:29" s="1" customFormat="1" ht="17.100000000000001" customHeight="1">
      <c r="A142" s="14" t="s">
        <v>231</v>
      </c>
      <c r="B142" s="14" t="s">
        <v>272</v>
      </c>
      <c r="C142" s="14">
        <v>22</v>
      </c>
      <c r="D142" s="14" t="s">
        <v>273</v>
      </c>
      <c r="E142" s="14" t="s">
        <v>50</v>
      </c>
      <c r="F142" s="7">
        <v>90</v>
      </c>
      <c r="G142" s="7">
        <v>90</v>
      </c>
      <c r="H142" s="7">
        <v>90</v>
      </c>
      <c r="I142" s="7">
        <v>85</v>
      </c>
      <c r="J142" s="44">
        <v>100</v>
      </c>
      <c r="K142" s="26">
        <v>95</v>
      </c>
      <c r="L142" s="26">
        <v>95</v>
      </c>
      <c r="M142">
        <v>90</v>
      </c>
      <c r="N142">
        <v>100</v>
      </c>
      <c r="O142" s="1">
        <v>100</v>
      </c>
      <c r="P142" s="38">
        <f t="shared" si="12"/>
        <v>94.027777777777786</v>
      </c>
      <c r="Q142" s="38">
        <v>20</v>
      </c>
      <c r="R142" s="38">
        <v>4</v>
      </c>
      <c r="S142" s="38">
        <v>10</v>
      </c>
      <c r="T142" s="38">
        <v>10</v>
      </c>
      <c r="U142" s="38">
        <v>6</v>
      </c>
      <c r="V142" s="38">
        <v>6</v>
      </c>
      <c r="W142" s="38">
        <v>0</v>
      </c>
      <c r="X142" s="38">
        <v>6</v>
      </c>
      <c r="Y142" s="38">
        <v>4</v>
      </c>
      <c r="Z142" s="41">
        <f t="shared" si="13"/>
        <v>66</v>
      </c>
      <c r="AA142" s="38">
        <f t="shared" si="14"/>
        <v>94.027777777777786</v>
      </c>
      <c r="AB142" s="42">
        <f t="shared" si="15"/>
        <v>74.408333333333331</v>
      </c>
      <c r="AC142" s="38" t="s">
        <v>273</v>
      </c>
    </row>
    <row r="143" spans="1:29" s="1" customFormat="1" ht="17.100000000000001" customHeight="1">
      <c r="A143" s="14" t="s">
        <v>231</v>
      </c>
      <c r="B143" s="14" t="s">
        <v>274</v>
      </c>
      <c r="C143" s="14">
        <v>23</v>
      </c>
      <c r="D143" s="14" t="s">
        <v>275</v>
      </c>
      <c r="E143" s="14" t="s">
        <v>52</v>
      </c>
      <c r="F143" s="7">
        <v>80</v>
      </c>
      <c r="G143" s="7">
        <v>95</v>
      </c>
      <c r="H143" s="7">
        <v>80</v>
      </c>
      <c r="I143" s="7">
        <v>75</v>
      </c>
      <c r="J143" s="44">
        <v>100</v>
      </c>
      <c r="K143" s="26">
        <v>100</v>
      </c>
      <c r="L143" s="26">
        <v>95</v>
      </c>
      <c r="M143">
        <v>90</v>
      </c>
      <c r="N143" s="1">
        <v>100</v>
      </c>
      <c r="O143" s="1">
        <v>100</v>
      </c>
      <c r="P143" s="38">
        <f t="shared" si="12"/>
        <v>92.5</v>
      </c>
      <c r="Q143" s="38">
        <v>20</v>
      </c>
      <c r="R143" s="38">
        <v>7</v>
      </c>
      <c r="S143" s="38">
        <v>7</v>
      </c>
      <c r="T143" s="38">
        <v>10</v>
      </c>
      <c r="U143" s="38">
        <v>6</v>
      </c>
      <c r="V143" s="38">
        <v>8</v>
      </c>
      <c r="W143" s="38">
        <v>6</v>
      </c>
      <c r="X143" s="38">
        <v>9</v>
      </c>
      <c r="Y143" s="38">
        <v>4</v>
      </c>
      <c r="Z143" s="41">
        <f t="shared" si="13"/>
        <v>77</v>
      </c>
      <c r="AA143" s="38">
        <f t="shared" si="14"/>
        <v>92.5</v>
      </c>
      <c r="AB143" s="42">
        <f t="shared" si="15"/>
        <v>81.650000000000006</v>
      </c>
      <c r="AC143" s="38" t="s">
        <v>275</v>
      </c>
    </row>
    <row r="144" spans="1:29" s="1" customFormat="1" ht="17.100000000000001" customHeight="1">
      <c r="A144" s="14" t="s">
        <v>231</v>
      </c>
      <c r="B144" s="14" t="s">
        <v>276</v>
      </c>
      <c r="C144" s="14">
        <v>24</v>
      </c>
      <c r="D144" s="14" t="s">
        <v>277</v>
      </c>
      <c r="E144" s="14" t="s">
        <v>50</v>
      </c>
      <c r="F144" s="7">
        <v>90</v>
      </c>
      <c r="G144" s="7">
        <v>85</v>
      </c>
      <c r="H144" s="7">
        <v>85</v>
      </c>
      <c r="I144" s="7">
        <v>85</v>
      </c>
      <c r="J144" s="44">
        <v>100</v>
      </c>
      <c r="K144" s="26">
        <v>100</v>
      </c>
      <c r="L144" s="26">
        <v>95</v>
      </c>
      <c r="M144" s="1">
        <v>100</v>
      </c>
      <c r="N144" s="1">
        <v>100</v>
      </c>
      <c r="O144" s="1">
        <v>100</v>
      </c>
      <c r="P144" s="38">
        <f t="shared" si="12"/>
        <v>94.8611111111111</v>
      </c>
      <c r="Q144" s="38">
        <v>20</v>
      </c>
      <c r="R144" s="38">
        <v>9</v>
      </c>
      <c r="S144" s="38">
        <v>10</v>
      </c>
      <c r="T144" s="38">
        <v>10</v>
      </c>
      <c r="U144" s="38">
        <v>6</v>
      </c>
      <c r="V144" s="38">
        <v>8</v>
      </c>
      <c r="W144" s="38">
        <v>6</v>
      </c>
      <c r="X144" s="38">
        <v>4</v>
      </c>
      <c r="Y144" s="38">
        <v>4</v>
      </c>
      <c r="Z144" s="41">
        <f t="shared" si="13"/>
        <v>77</v>
      </c>
      <c r="AA144" s="38">
        <f t="shared" si="14"/>
        <v>94.8611111111111</v>
      </c>
      <c r="AB144" s="42">
        <f t="shared" si="15"/>
        <v>82.35833333333332</v>
      </c>
      <c r="AC144" s="38" t="s">
        <v>277</v>
      </c>
    </row>
    <row r="145" spans="1:29" s="1" customFormat="1" ht="17.100000000000001" customHeight="1">
      <c r="A145" s="14" t="s">
        <v>231</v>
      </c>
      <c r="B145" s="14" t="s">
        <v>278</v>
      </c>
      <c r="C145" s="14">
        <v>25</v>
      </c>
      <c r="D145" s="14" t="s">
        <v>279</v>
      </c>
      <c r="E145" s="14" t="s">
        <v>50</v>
      </c>
      <c r="F145" s="7">
        <v>100</v>
      </c>
      <c r="G145" s="7">
        <v>95</v>
      </c>
      <c r="H145" s="7">
        <v>95</v>
      </c>
      <c r="I145" s="7">
        <v>95</v>
      </c>
      <c r="J145" s="44">
        <v>100</v>
      </c>
      <c r="K145" s="26">
        <v>95</v>
      </c>
      <c r="L145" s="26">
        <v>100</v>
      </c>
      <c r="M145">
        <v>100</v>
      </c>
      <c r="N145" s="1">
        <v>100</v>
      </c>
      <c r="O145" s="1">
        <v>100</v>
      </c>
      <c r="P145" s="38">
        <f t="shared" si="12"/>
        <v>98.194444444444443</v>
      </c>
      <c r="Q145" s="38">
        <v>12</v>
      </c>
      <c r="R145" s="38">
        <v>9</v>
      </c>
      <c r="S145" s="38">
        <v>10</v>
      </c>
      <c r="T145" s="38">
        <v>4</v>
      </c>
      <c r="U145" s="38">
        <v>6</v>
      </c>
      <c r="V145" s="38">
        <v>8</v>
      </c>
      <c r="W145" s="38">
        <v>6</v>
      </c>
      <c r="X145" s="38">
        <v>10</v>
      </c>
      <c r="Y145" s="38">
        <v>5</v>
      </c>
      <c r="Z145" s="41">
        <f t="shared" si="13"/>
        <v>70</v>
      </c>
      <c r="AA145" s="38">
        <f t="shared" si="14"/>
        <v>98.194444444444443</v>
      </c>
      <c r="AB145" s="42">
        <f t="shared" si="15"/>
        <v>78.458333333333329</v>
      </c>
      <c r="AC145" s="38" t="s">
        <v>279</v>
      </c>
    </row>
    <row r="146" spans="1:29" s="1" customFormat="1" ht="17.100000000000001" customHeight="1">
      <c r="A146" s="14" t="s">
        <v>231</v>
      </c>
      <c r="B146" s="14" t="s">
        <v>280</v>
      </c>
      <c r="C146" s="14">
        <v>26</v>
      </c>
      <c r="D146" s="14" t="s">
        <v>281</v>
      </c>
      <c r="E146" s="14" t="s">
        <v>50</v>
      </c>
      <c r="F146" s="7">
        <v>90</v>
      </c>
      <c r="G146" s="7">
        <v>100</v>
      </c>
      <c r="H146" s="7">
        <v>90</v>
      </c>
      <c r="I146" s="7">
        <v>90</v>
      </c>
      <c r="J146" s="44">
        <v>100</v>
      </c>
      <c r="K146" s="26">
        <v>95</v>
      </c>
      <c r="L146" s="26">
        <v>95</v>
      </c>
      <c r="M146" s="1">
        <v>100</v>
      </c>
      <c r="N146" s="1">
        <v>100</v>
      </c>
      <c r="O146" s="1">
        <v>100</v>
      </c>
      <c r="P146" s="38">
        <f t="shared" si="12"/>
        <v>96.3888888888889</v>
      </c>
      <c r="Q146" s="38">
        <v>16</v>
      </c>
      <c r="R146" s="38">
        <v>9</v>
      </c>
      <c r="S146" s="38">
        <v>10</v>
      </c>
      <c r="T146" s="38">
        <v>10</v>
      </c>
      <c r="U146" s="38">
        <v>8</v>
      </c>
      <c r="V146" s="38">
        <v>4</v>
      </c>
      <c r="W146" s="38">
        <v>6</v>
      </c>
      <c r="X146" s="38">
        <v>7</v>
      </c>
      <c r="Y146" s="38">
        <v>2</v>
      </c>
      <c r="Z146" s="41">
        <f t="shared" si="13"/>
        <v>72</v>
      </c>
      <c r="AA146" s="38">
        <f t="shared" si="14"/>
        <v>96.3888888888889</v>
      </c>
      <c r="AB146" s="42">
        <f t="shared" si="15"/>
        <v>79.316666666666663</v>
      </c>
      <c r="AC146" s="38" t="s">
        <v>281</v>
      </c>
    </row>
    <row r="147" spans="1:29" s="1" customFormat="1" ht="17.100000000000001" customHeight="1">
      <c r="A147" s="14" t="s">
        <v>231</v>
      </c>
      <c r="B147" s="14" t="s">
        <v>282</v>
      </c>
      <c r="C147" s="14">
        <v>27</v>
      </c>
      <c r="D147" s="14" t="s">
        <v>283</v>
      </c>
      <c r="E147" s="14" t="s">
        <v>50</v>
      </c>
      <c r="F147" s="7">
        <v>85</v>
      </c>
      <c r="G147" s="7">
        <v>85</v>
      </c>
      <c r="H147" s="7">
        <v>80</v>
      </c>
      <c r="I147" s="7">
        <v>85</v>
      </c>
      <c r="J147" s="44">
        <v>100</v>
      </c>
      <c r="K147" s="26">
        <v>100</v>
      </c>
      <c r="L147" s="26">
        <v>95</v>
      </c>
      <c r="M147">
        <v>90</v>
      </c>
      <c r="N147">
        <v>100</v>
      </c>
      <c r="O147" s="1">
        <v>100</v>
      </c>
      <c r="P147" s="38">
        <f t="shared" si="12"/>
        <v>92.916666666666671</v>
      </c>
      <c r="Q147" s="38">
        <v>20</v>
      </c>
      <c r="R147" s="38">
        <v>7</v>
      </c>
      <c r="S147" s="38">
        <v>10</v>
      </c>
      <c r="T147" s="38">
        <v>10</v>
      </c>
      <c r="U147" s="38">
        <v>0</v>
      </c>
      <c r="V147" s="38">
        <v>8</v>
      </c>
      <c r="W147" s="38">
        <v>0</v>
      </c>
      <c r="X147" s="38">
        <v>1</v>
      </c>
      <c r="Y147" s="38">
        <v>6</v>
      </c>
      <c r="Z147" s="41">
        <f t="shared" si="13"/>
        <v>62</v>
      </c>
      <c r="AA147" s="38">
        <f t="shared" si="14"/>
        <v>92.916666666666671</v>
      </c>
      <c r="AB147" s="42">
        <f t="shared" si="15"/>
        <v>71.275000000000006</v>
      </c>
      <c r="AC147" s="38" t="s">
        <v>283</v>
      </c>
    </row>
    <row r="148" spans="1:29" s="1" customFormat="1" ht="17.100000000000001" customHeight="1">
      <c r="A148" s="7" t="s">
        <v>231</v>
      </c>
      <c r="B148" s="7" t="s">
        <v>284</v>
      </c>
      <c r="C148" s="14">
        <v>28</v>
      </c>
      <c r="D148" s="7" t="s">
        <v>285</v>
      </c>
      <c r="E148" s="7" t="s">
        <v>50</v>
      </c>
      <c r="F148" s="7">
        <v>90</v>
      </c>
      <c r="G148" s="7">
        <v>90</v>
      </c>
      <c r="H148" s="7">
        <v>90</v>
      </c>
      <c r="I148" s="7">
        <v>0</v>
      </c>
      <c r="J148" s="44">
        <v>100</v>
      </c>
      <c r="K148" s="26">
        <v>95</v>
      </c>
      <c r="L148" s="26">
        <v>95</v>
      </c>
      <c r="M148">
        <v>90</v>
      </c>
      <c r="N148" s="1">
        <v>100</v>
      </c>
      <c r="O148" s="1">
        <v>100</v>
      </c>
      <c r="P148" s="38">
        <f t="shared" si="12"/>
        <v>86.944444444444457</v>
      </c>
      <c r="Q148" s="38">
        <v>16</v>
      </c>
      <c r="R148" s="38">
        <v>8</v>
      </c>
      <c r="S148" s="38">
        <v>10</v>
      </c>
      <c r="T148" s="38">
        <v>10</v>
      </c>
      <c r="U148" s="38">
        <v>0</v>
      </c>
      <c r="V148" s="38">
        <v>4</v>
      </c>
      <c r="W148" s="38">
        <v>6</v>
      </c>
      <c r="X148" s="38">
        <v>2</v>
      </c>
      <c r="Y148" s="38">
        <v>4</v>
      </c>
      <c r="Z148" s="41">
        <f t="shared" si="13"/>
        <v>60</v>
      </c>
      <c r="AA148" s="38">
        <f t="shared" si="14"/>
        <v>86.944444444444457</v>
      </c>
      <c r="AB148" s="42">
        <f t="shared" si="15"/>
        <v>68.083333333333343</v>
      </c>
      <c r="AC148" s="38" t="s">
        <v>285</v>
      </c>
    </row>
    <row r="149" spans="1:29" s="1" customFormat="1" ht="17.100000000000001" customHeight="1">
      <c r="A149" s="7" t="s">
        <v>231</v>
      </c>
      <c r="B149" s="7" t="s">
        <v>286</v>
      </c>
      <c r="C149" s="14">
        <v>29</v>
      </c>
      <c r="D149" s="7" t="s">
        <v>287</v>
      </c>
      <c r="E149" s="7" t="s">
        <v>50</v>
      </c>
      <c r="F149" s="7">
        <v>80</v>
      </c>
      <c r="G149" s="7">
        <v>85</v>
      </c>
      <c r="H149" s="7">
        <v>80</v>
      </c>
      <c r="I149" s="7">
        <v>85</v>
      </c>
      <c r="J149" s="44">
        <v>100</v>
      </c>
      <c r="K149" s="26">
        <v>95</v>
      </c>
      <c r="L149" s="26">
        <v>95</v>
      </c>
      <c r="M149" s="1">
        <v>100</v>
      </c>
      <c r="N149" s="1">
        <v>100</v>
      </c>
      <c r="O149" s="1">
        <v>100</v>
      </c>
      <c r="P149" s="38">
        <f t="shared" si="12"/>
        <v>93.055555555555557</v>
      </c>
      <c r="Q149" s="38">
        <v>16</v>
      </c>
      <c r="R149" s="38">
        <v>7</v>
      </c>
      <c r="S149" s="38">
        <v>9</v>
      </c>
      <c r="T149" s="38">
        <v>4</v>
      </c>
      <c r="U149" s="38">
        <v>6</v>
      </c>
      <c r="V149" s="38">
        <v>2</v>
      </c>
      <c r="W149" s="38">
        <v>0</v>
      </c>
      <c r="X149" s="38">
        <v>10</v>
      </c>
      <c r="Y149" s="38">
        <v>4</v>
      </c>
      <c r="Z149" s="41">
        <f t="shared" si="13"/>
        <v>58</v>
      </c>
      <c r="AA149" s="38">
        <f t="shared" si="14"/>
        <v>93.055555555555557</v>
      </c>
      <c r="AB149" s="42">
        <f t="shared" si="15"/>
        <v>68.516666666666666</v>
      </c>
      <c r="AC149" s="38" t="s">
        <v>287</v>
      </c>
    </row>
    <row r="150" spans="1:29" s="1" customFormat="1" ht="17.100000000000001" customHeight="1">
      <c r="A150" s="7" t="s">
        <v>231</v>
      </c>
      <c r="B150" s="7" t="s">
        <v>288</v>
      </c>
      <c r="C150" s="14">
        <v>30</v>
      </c>
      <c r="D150" s="7" t="s">
        <v>289</v>
      </c>
      <c r="E150" s="7" t="s">
        <v>52</v>
      </c>
      <c r="F150" s="7">
        <v>90</v>
      </c>
      <c r="G150" s="7">
        <v>90</v>
      </c>
      <c r="H150" s="7">
        <v>85</v>
      </c>
      <c r="I150" s="7">
        <v>90</v>
      </c>
      <c r="J150" s="44">
        <v>100</v>
      </c>
      <c r="K150" s="26">
        <v>100</v>
      </c>
      <c r="L150" s="26">
        <v>95</v>
      </c>
      <c r="M150">
        <v>100</v>
      </c>
      <c r="N150" s="1">
        <v>100</v>
      </c>
      <c r="O150" s="1">
        <v>100</v>
      </c>
      <c r="P150" s="38">
        <f t="shared" si="12"/>
        <v>95.694444444444443</v>
      </c>
      <c r="Q150" s="38">
        <v>16</v>
      </c>
      <c r="R150" s="38">
        <v>7</v>
      </c>
      <c r="S150" s="38">
        <v>10</v>
      </c>
      <c r="T150" s="38">
        <v>10</v>
      </c>
      <c r="U150" s="38">
        <v>0</v>
      </c>
      <c r="V150" s="38">
        <v>2</v>
      </c>
      <c r="W150" s="38">
        <v>6</v>
      </c>
      <c r="X150" s="38">
        <v>7</v>
      </c>
      <c r="Y150" s="38">
        <v>6</v>
      </c>
      <c r="Z150" s="41">
        <f t="shared" si="13"/>
        <v>64</v>
      </c>
      <c r="AA150" s="38">
        <f t="shared" si="14"/>
        <v>95.694444444444443</v>
      </c>
      <c r="AB150" s="42">
        <f t="shared" si="15"/>
        <v>73.508333333333326</v>
      </c>
      <c r="AC150" s="38" t="s">
        <v>289</v>
      </c>
    </row>
    <row r="151" spans="1:29">
      <c r="J151"/>
      <c r="K151"/>
      <c r="L151"/>
      <c r="Z151">
        <f>COUNTIF(Z$6:Z$150,"&gt;=90")</f>
        <v>1</v>
      </c>
      <c r="AA151" s="46">
        <f>Z151/144</f>
        <v>6.9444444444444441E-3</v>
      </c>
      <c r="AB151">
        <f>COUNTIF(AB$6:AB$150,"&gt;=90")</f>
        <v>3</v>
      </c>
      <c r="AC151" s="46">
        <f t="shared" ref="AC151:AC155" si="16">AB151/144</f>
        <v>2.0833333333333332E-2</v>
      </c>
    </row>
    <row r="152" spans="1:29">
      <c r="J152"/>
      <c r="K152"/>
      <c r="L152"/>
      <c r="Z152">
        <f>COUNTIF(Z$6:Z$150,"&gt;=80")</f>
        <v>11</v>
      </c>
      <c r="AA152" s="46">
        <f>Z152/144</f>
        <v>7.6388888888888895E-2</v>
      </c>
      <c r="AB152">
        <f>COUNTIF(AB$6:AB$150,"&gt;=80")</f>
        <v>25</v>
      </c>
      <c r="AC152" s="46">
        <f t="shared" si="16"/>
        <v>0.1736111111111111</v>
      </c>
    </row>
    <row r="153" spans="1:29">
      <c r="J153"/>
      <c r="K153"/>
      <c r="L153"/>
      <c r="Z153">
        <f>COUNTIF(Z$6:Z$150,"&gt;=70")</f>
        <v>40</v>
      </c>
      <c r="AA153" s="46">
        <f>Z153/144</f>
        <v>0.27777777777777779</v>
      </c>
      <c r="AB153">
        <f>COUNTIF(AB$6:AB$150,"&gt;=70")</f>
        <v>91</v>
      </c>
      <c r="AC153" s="46">
        <f t="shared" si="16"/>
        <v>0.63194444444444442</v>
      </c>
    </row>
    <row r="154" spans="1:29">
      <c r="J154"/>
      <c r="K154"/>
      <c r="L154"/>
      <c r="Z154">
        <f>COUNTIF(Z$6:Z$150,"&gt;=60")</f>
        <v>97</v>
      </c>
      <c r="AA154" s="46">
        <f>Z154/144</f>
        <v>0.67361111111111116</v>
      </c>
      <c r="AB154">
        <f>COUNTIF(AB$6:AB$150,"&gt;=60")</f>
        <v>134</v>
      </c>
      <c r="AC154" s="46">
        <f t="shared" si="16"/>
        <v>0.93055555555555558</v>
      </c>
    </row>
    <row r="155" spans="1:29">
      <c r="J155"/>
      <c r="K155"/>
      <c r="L155"/>
      <c r="Z155">
        <f>COUNTIF(Z$6:Z$150,"&gt;=30")</f>
        <v>144</v>
      </c>
      <c r="AA155" s="46">
        <f>Z155/144</f>
        <v>1</v>
      </c>
      <c r="AB155">
        <f>COUNTIF(AB$6:AB$150,"&gt;=30")</f>
        <v>144</v>
      </c>
      <c r="AC155" s="46">
        <f t="shared" si="16"/>
        <v>1</v>
      </c>
    </row>
    <row r="156" spans="1:29">
      <c r="J156"/>
      <c r="K156"/>
      <c r="L156"/>
      <c r="O156" s="45"/>
      <c r="P156" s="45"/>
      <c r="Q156" s="45"/>
      <c r="R156" s="45"/>
      <c r="S156" s="45"/>
      <c r="T156" s="45"/>
      <c r="Z156">
        <f>AVERAGE(Z6:Z150)</f>
        <v>62.648275862068964</v>
      </c>
      <c r="AB156">
        <f>AVERAGE(AB6:AB150)</f>
        <v>71.84074712643681</v>
      </c>
    </row>
    <row r="157" spans="1:29">
      <c r="J157"/>
      <c r="K157"/>
      <c r="L157"/>
      <c r="Z157">
        <f>STDEV(Z6:Z150)</f>
        <v>12.664764678738257</v>
      </c>
      <c r="AB157">
        <f>STDEV(AB6:AB150)</f>
        <v>9.4094694573080382</v>
      </c>
    </row>
    <row r="158" spans="1:29">
      <c r="J158"/>
      <c r="K158"/>
      <c r="L158"/>
      <c r="Z158"/>
      <c r="AB158"/>
    </row>
    <row r="159" spans="1:29">
      <c r="J159"/>
      <c r="K159"/>
      <c r="L159"/>
      <c r="Z159"/>
      <c r="AB159"/>
    </row>
    <row r="160" spans="1:29">
      <c r="J160"/>
      <c r="K160"/>
      <c r="L160"/>
      <c r="Z160"/>
      <c r="AB160"/>
    </row>
    <row r="161" spans="9:12" customFormat="1"/>
    <row r="162" spans="9:12" customFormat="1"/>
    <row r="163" spans="9:12" customFormat="1"/>
    <row r="164" spans="9:12" customFormat="1"/>
    <row r="165" spans="9:12" customFormat="1"/>
    <row r="166" spans="9:12" customFormat="1"/>
    <row r="167" spans="9:12" customFormat="1"/>
    <row r="168" spans="9:12" customFormat="1"/>
    <row r="169" spans="9:12" customFormat="1"/>
    <row r="170" spans="9:12" customFormat="1"/>
    <row r="171" spans="9:12" customFormat="1"/>
    <row r="172" spans="9:12" customFormat="1"/>
    <row r="173" spans="9:12">
      <c r="I173" s="31"/>
      <c r="J173" s="31"/>
      <c r="K173" s="31"/>
      <c r="L173" s="31"/>
    </row>
    <row r="174" spans="9:12">
      <c r="I174" s="31"/>
      <c r="J174" s="31"/>
      <c r="K174" s="31"/>
      <c r="L174" s="31"/>
    </row>
    <row r="175" spans="9:12">
      <c r="I175" s="31"/>
      <c r="J175" s="31"/>
      <c r="K175" s="31"/>
      <c r="L175" s="31"/>
    </row>
    <row r="176" spans="9:12">
      <c r="I176" s="31"/>
      <c r="J176" s="31"/>
      <c r="K176" s="31"/>
      <c r="L176" s="31"/>
    </row>
    <row r="177" spans="9:12">
      <c r="I177" s="31"/>
      <c r="J177" s="31"/>
      <c r="K177" s="31"/>
      <c r="L177" s="31"/>
    </row>
    <row r="178" spans="9:12">
      <c r="I178" s="31"/>
      <c r="J178" s="31"/>
      <c r="K178" s="31"/>
      <c r="L178" s="31"/>
    </row>
    <row r="179" spans="9:12">
      <c r="I179" s="31"/>
      <c r="J179" s="31"/>
      <c r="K179" s="31"/>
      <c r="L179" s="31"/>
    </row>
    <row r="180" spans="9:12">
      <c r="I180" s="31"/>
      <c r="J180" s="31"/>
      <c r="K180" s="31"/>
      <c r="L180" s="31"/>
    </row>
    <row r="181" spans="9:12">
      <c r="I181" s="31"/>
      <c r="J181" s="31"/>
      <c r="K181" s="31"/>
      <c r="L181" s="31"/>
    </row>
    <row r="182" spans="9:12">
      <c r="I182" s="31"/>
      <c r="J182" s="31"/>
      <c r="K182" s="31"/>
      <c r="L182" s="31"/>
    </row>
    <row r="183" spans="9:12">
      <c r="I183" s="31"/>
      <c r="J183" s="31"/>
      <c r="K183" s="31"/>
      <c r="L183" s="31"/>
    </row>
    <row r="184" spans="9:12">
      <c r="I184" s="31"/>
      <c r="J184" s="31"/>
      <c r="K184" s="31"/>
      <c r="L184" s="31"/>
    </row>
    <row r="185" spans="9:12">
      <c r="I185" s="31"/>
      <c r="J185" s="31"/>
      <c r="K185" s="31"/>
      <c r="L185" s="31"/>
    </row>
    <row r="186" spans="9:12">
      <c r="I186" s="31"/>
      <c r="J186" s="31"/>
      <c r="K186" s="31"/>
      <c r="L186" s="31"/>
    </row>
    <row r="187" spans="9:12">
      <c r="I187" s="31"/>
      <c r="J187" s="31"/>
      <c r="K187" s="31"/>
      <c r="L187" s="31"/>
    </row>
    <row r="188" spans="9:12">
      <c r="I188" s="31"/>
      <c r="J188" s="31"/>
      <c r="K188" s="31"/>
      <c r="L188" s="31"/>
    </row>
    <row r="189" spans="9:12">
      <c r="I189" s="31"/>
      <c r="J189" s="31"/>
      <c r="K189" s="31"/>
      <c r="L189" s="31"/>
    </row>
    <row r="190" spans="9:12">
      <c r="I190" s="31"/>
      <c r="J190" s="31"/>
      <c r="K190" s="31"/>
      <c r="L190" s="31"/>
    </row>
    <row r="191" spans="9:12">
      <c r="I191" s="31"/>
      <c r="J191" s="31"/>
      <c r="K191" s="31"/>
      <c r="L191" s="31"/>
    </row>
    <row r="192" spans="9:12">
      <c r="I192" s="31"/>
      <c r="J192" s="31"/>
      <c r="K192" s="31"/>
      <c r="L192" s="31"/>
    </row>
    <row r="193" spans="9:12">
      <c r="I193" s="31"/>
      <c r="J193" s="31"/>
      <c r="K193" s="31"/>
      <c r="L193" s="31"/>
    </row>
    <row r="194" spans="9:12">
      <c r="I194" s="31"/>
      <c r="J194" s="31"/>
      <c r="K194" s="31"/>
      <c r="L194" s="31"/>
    </row>
    <row r="195" spans="9:12">
      <c r="I195" s="31"/>
      <c r="J195" s="31"/>
      <c r="K195" s="31"/>
      <c r="L195" s="31"/>
    </row>
    <row r="196" spans="9:12">
      <c r="I196" s="31"/>
      <c r="J196" s="31"/>
      <c r="K196" s="31"/>
      <c r="L196" s="31"/>
    </row>
    <row r="197" spans="9:12">
      <c r="I197" s="31"/>
      <c r="J197" s="31"/>
      <c r="K197" s="31"/>
      <c r="L197" s="31"/>
    </row>
    <row r="198" spans="9:12">
      <c r="I198" s="31"/>
      <c r="J198" s="31"/>
      <c r="K198" s="31"/>
      <c r="L198" s="31"/>
    </row>
    <row r="199" spans="9:12">
      <c r="I199" s="31"/>
      <c r="J199" s="31"/>
      <c r="K199" s="31"/>
      <c r="L199" s="31"/>
    </row>
    <row r="200" spans="9:12">
      <c r="I200" s="31"/>
      <c r="J200" s="31"/>
      <c r="K200" s="31"/>
      <c r="L200" s="31"/>
    </row>
    <row r="201" spans="9:12">
      <c r="I201" s="31"/>
      <c r="J201" s="31"/>
      <c r="K201" s="31"/>
      <c r="L201" s="31"/>
    </row>
    <row r="202" spans="9:12">
      <c r="I202" s="31"/>
      <c r="J202" s="31"/>
      <c r="K202" s="31"/>
      <c r="L202" s="31"/>
    </row>
    <row r="203" spans="9:12">
      <c r="I203" s="31"/>
      <c r="J203" s="31"/>
      <c r="K203" s="31"/>
      <c r="L203" s="31"/>
    </row>
    <row r="204" spans="9:12">
      <c r="I204" s="31"/>
      <c r="J204" s="31"/>
      <c r="K204" s="31"/>
      <c r="L204" s="31"/>
    </row>
    <row r="205" spans="9:12">
      <c r="I205" s="31"/>
      <c r="J205" s="31"/>
      <c r="K205" s="31"/>
      <c r="L205" s="31"/>
    </row>
    <row r="206" spans="9:12">
      <c r="I206" s="31"/>
      <c r="J206" s="31"/>
      <c r="K206" s="31"/>
      <c r="L206" s="31"/>
    </row>
    <row r="207" spans="9:12">
      <c r="I207" s="31"/>
      <c r="J207" s="31"/>
      <c r="K207" s="31"/>
      <c r="L207" s="31"/>
    </row>
    <row r="208" spans="9:12">
      <c r="I208" s="31"/>
      <c r="J208" s="31"/>
      <c r="K208" s="31"/>
      <c r="L208" s="31"/>
    </row>
  </sheetData>
  <mergeCells count="14">
    <mergeCell ref="P4:P5"/>
    <mergeCell ref="F2:I3"/>
    <mergeCell ref="J2:O3"/>
    <mergeCell ref="A3:B3"/>
    <mergeCell ref="A4:A5"/>
    <mergeCell ref="B4:B5"/>
    <mergeCell ref="D4:D5"/>
    <mergeCell ref="E4:E5"/>
    <mergeCell ref="A1:B1"/>
    <mergeCell ref="C1:E1"/>
    <mergeCell ref="F1:I1"/>
    <mergeCell ref="J1:O1"/>
    <mergeCell ref="A2:B2"/>
    <mergeCell ref="C2:E2"/>
  </mergeCells>
  <phoneticPr fontId="18" type="noConversion"/>
  <conditionalFormatting sqref="AD15:AD42">
    <cfRule type="cellIs" dxfId="8" priority="3" operator="lessThan">
      <formula>60</formula>
    </cfRule>
  </conditionalFormatting>
  <conditionalFormatting sqref="AE25:AE52">
    <cfRule type="cellIs" dxfId="7" priority="2" operator="lessThan">
      <formula>60</formula>
    </cfRule>
  </conditionalFormatting>
  <conditionalFormatting sqref="AB1:AB150 AB173:AB1048576">
    <cfRule type="cellIs" dxfId="6" priority="1" operator="lessThan">
      <formula>60</formula>
    </cfRule>
  </conditionalFormatting>
  <conditionalFormatting sqref="D122:D131 D134:D147">
    <cfRule type="duplicateValues" dxfId="5" priority="6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zoomScale="130" zoomScaleNormal="130" workbookViewId="0">
      <selection activeCell="M13" sqref="M13"/>
    </sheetView>
  </sheetViews>
  <sheetFormatPr defaultColWidth="9" defaultRowHeight="13.5"/>
  <cols>
    <col min="1" max="1" width="18.875" customWidth="1"/>
    <col min="2" max="2" width="13" customWidth="1"/>
    <col min="5" max="6" width="10.125" customWidth="1"/>
    <col min="7" max="7" width="10.125" style="30" customWidth="1"/>
  </cols>
  <sheetData>
    <row r="1" spans="1:7" ht="17.25">
      <c r="A1" s="5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6" t="s">
        <v>293</v>
      </c>
    </row>
    <row r="2" spans="1:7" ht="17.25">
      <c r="A2" s="7" t="s">
        <v>48</v>
      </c>
      <c r="B2" s="7">
        <v>1810300110</v>
      </c>
      <c r="C2" s="7" t="s">
        <v>294</v>
      </c>
      <c r="D2" s="7" t="s">
        <v>50</v>
      </c>
      <c r="E2" s="7"/>
      <c r="F2" s="7"/>
      <c r="G2" s="7" t="s">
        <v>295</v>
      </c>
    </row>
    <row r="3" spans="1:7" ht="17.25">
      <c r="A3" s="7" t="s">
        <v>48</v>
      </c>
      <c r="B3" s="7">
        <v>1810300114</v>
      </c>
      <c r="C3" s="7" t="s">
        <v>49</v>
      </c>
      <c r="D3" s="7" t="s">
        <v>50</v>
      </c>
      <c r="E3" s="7">
        <v>26</v>
      </c>
      <c r="F3" s="7">
        <v>57</v>
      </c>
      <c r="G3" s="7">
        <v>83</v>
      </c>
    </row>
    <row r="4" spans="1:7" ht="17.25">
      <c r="A4" s="7" t="s">
        <v>48</v>
      </c>
      <c r="B4" s="7">
        <v>1810300126</v>
      </c>
      <c r="C4" s="7" t="s">
        <v>51</v>
      </c>
      <c r="D4" s="7" t="s">
        <v>52</v>
      </c>
      <c r="E4" s="7">
        <v>29</v>
      </c>
      <c r="F4" s="7">
        <v>69</v>
      </c>
      <c r="G4" s="7">
        <v>98</v>
      </c>
    </row>
    <row r="5" spans="1:7" ht="17.25">
      <c r="A5" s="7" t="s">
        <v>48</v>
      </c>
      <c r="B5" s="7">
        <v>1810300204</v>
      </c>
      <c r="C5" s="7" t="s">
        <v>53</v>
      </c>
      <c r="D5" s="7" t="s">
        <v>50</v>
      </c>
      <c r="E5" s="7">
        <v>0</v>
      </c>
      <c r="F5" s="7">
        <v>0</v>
      </c>
      <c r="G5" s="7">
        <v>0</v>
      </c>
    </row>
    <row r="6" spans="1:7" ht="17.25">
      <c r="A6" s="7" t="s">
        <v>48</v>
      </c>
      <c r="B6" s="7">
        <v>1810300226</v>
      </c>
      <c r="C6" s="7" t="s">
        <v>54</v>
      </c>
      <c r="D6" s="7" t="s">
        <v>52</v>
      </c>
      <c r="E6" s="7">
        <v>26</v>
      </c>
      <c r="F6" s="7">
        <v>69</v>
      </c>
      <c r="G6" s="7">
        <v>95</v>
      </c>
    </row>
    <row r="7" spans="1:7" ht="17.25">
      <c r="A7" s="7" t="s">
        <v>48</v>
      </c>
      <c r="B7" s="7">
        <v>1810300309</v>
      </c>
      <c r="C7" s="7" t="s">
        <v>55</v>
      </c>
      <c r="D7" s="7" t="s">
        <v>50</v>
      </c>
      <c r="E7" s="7">
        <v>27</v>
      </c>
      <c r="F7" s="7">
        <v>63</v>
      </c>
      <c r="G7" s="7">
        <v>90</v>
      </c>
    </row>
    <row r="8" spans="1:7" ht="17.25">
      <c r="A8" s="7" t="s">
        <v>48</v>
      </c>
      <c r="B8" s="7">
        <v>1810300320</v>
      </c>
      <c r="C8" s="7" t="s">
        <v>56</v>
      </c>
      <c r="D8" s="7" t="s">
        <v>50</v>
      </c>
      <c r="E8" s="7">
        <v>22</v>
      </c>
      <c r="F8" s="7">
        <v>53</v>
      </c>
      <c r="G8" s="7">
        <v>75</v>
      </c>
    </row>
    <row r="9" spans="1:7" ht="17.25">
      <c r="A9" s="7" t="s">
        <v>48</v>
      </c>
      <c r="B9" s="7">
        <v>1810300332</v>
      </c>
      <c r="C9" s="7" t="s">
        <v>57</v>
      </c>
      <c r="D9" s="7" t="s">
        <v>52</v>
      </c>
      <c r="E9" s="7">
        <v>26</v>
      </c>
      <c r="F9" s="7">
        <v>69</v>
      </c>
      <c r="G9" s="7">
        <v>95</v>
      </c>
    </row>
    <row r="10" spans="1:7" ht="17.25">
      <c r="A10" s="7" t="s">
        <v>48</v>
      </c>
      <c r="B10" s="7">
        <v>1810300407</v>
      </c>
      <c r="C10" s="7" t="s">
        <v>58</v>
      </c>
      <c r="D10" s="7" t="s">
        <v>50</v>
      </c>
      <c r="E10" s="7">
        <v>27</v>
      </c>
      <c r="F10" s="7">
        <v>63</v>
      </c>
      <c r="G10" s="7">
        <v>90</v>
      </c>
    </row>
    <row r="11" spans="1:7" ht="17.25">
      <c r="A11" s="7" t="s">
        <v>48</v>
      </c>
      <c r="B11" s="7">
        <v>1810300410</v>
      </c>
      <c r="C11" s="7" t="s">
        <v>59</v>
      </c>
      <c r="D11" s="7" t="s">
        <v>50</v>
      </c>
      <c r="E11" s="7">
        <v>27</v>
      </c>
      <c r="F11" s="7">
        <v>63</v>
      </c>
      <c r="G11" s="7">
        <v>90</v>
      </c>
    </row>
    <row r="12" spans="1:7" ht="17.25">
      <c r="A12" s="7" t="s">
        <v>48</v>
      </c>
      <c r="B12" s="7">
        <v>1810300510</v>
      </c>
      <c r="C12" s="7" t="s">
        <v>60</v>
      </c>
      <c r="D12" s="7" t="s">
        <v>50</v>
      </c>
      <c r="E12" s="7">
        <v>29</v>
      </c>
      <c r="F12" s="7">
        <v>67</v>
      </c>
      <c r="G12" s="7">
        <v>96</v>
      </c>
    </row>
    <row r="13" spans="1:7" ht="17.25">
      <c r="A13" s="7" t="s">
        <v>48</v>
      </c>
      <c r="B13" s="7">
        <v>1810300616</v>
      </c>
      <c r="C13" s="7" t="s">
        <v>61</v>
      </c>
      <c r="D13" s="7" t="s">
        <v>50</v>
      </c>
      <c r="E13" s="7">
        <v>23</v>
      </c>
      <c r="F13" s="7">
        <v>52</v>
      </c>
      <c r="G13" s="7">
        <v>75</v>
      </c>
    </row>
    <row r="14" spans="1:7" ht="17.25">
      <c r="A14" s="7" t="s">
        <v>48</v>
      </c>
      <c r="B14" s="7">
        <v>1810300614</v>
      </c>
      <c r="C14" s="7" t="s">
        <v>62</v>
      </c>
      <c r="D14" s="7" t="s">
        <v>50</v>
      </c>
      <c r="E14" s="7">
        <v>20</v>
      </c>
      <c r="F14" s="7">
        <v>50</v>
      </c>
      <c r="G14" s="7">
        <v>70</v>
      </c>
    </row>
    <row r="15" spans="1:7" ht="17.25">
      <c r="A15" s="7" t="s">
        <v>48</v>
      </c>
      <c r="B15" s="7">
        <v>1810300615</v>
      </c>
      <c r="C15" s="7" t="s">
        <v>63</v>
      </c>
      <c r="D15" s="7" t="s">
        <v>50</v>
      </c>
      <c r="E15" s="7">
        <v>26</v>
      </c>
      <c r="F15" s="7">
        <v>57</v>
      </c>
      <c r="G15" s="7">
        <v>83</v>
      </c>
    </row>
    <row r="16" spans="1:7" ht="17.25">
      <c r="A16" s="7" t="s">
        <v>48</v>
      </c>
      <c r="B16" s="7">
        <v>1810300618</v>
      </c>
      <c r="C16" s="7" t="s">
        <v>64</v>
      </c>
      <c r="D16" s="7" t="s">
        <v>50</v>
      </c>
      <c r="E16" s="7">
        <v>20</v>
      </c>
      <c r="F16" s="7">
        <v>50</v>
      </c>
      <c r="G16" s="7">
        <v>70</v>
      </c>
    </row>
    <row r="17" spans="1:7" ht="17.25">
      <c r="A17" s="7" t="s">
        <v>48</v>
      </c>
      <c r="B17" s="7">
        <v>1810300619</v>
      </c>
      <c r="C17" s="7" t="s">
        <v>65</v>
      </c>
      <c r="D17" s="7" t="s">
        <v>50</v>
      </c>
      <c r="E17" s="7">
        <v>20</v>
      </c>
      <c r="F17" s="7">
        <v>50</v>
      </c>
      <c r="G17" s="7">
        <v>70</v>
      </c>
    </row>
    <row r="18" spans="1:7" ht="17.25">
      <c r="A18" s="7" t="s">
        <v>48</v>
      </c>
      <c r="B18" s="7">
        <v>1810300706</v>
      </c>
      <c r="C18" s="7" t="s">
        <v>66</v>
      </c>
      <c r="D18" s="7" t="s">
        <v>50</v>
      </c>
      <c r="E18" s="7">
        <v>21</v>
      </c>
      <c r="F18" s="7">
        <v>49</v>
      </c>
      <c r="G18" s="7">
        <v>70</v>
      </c>
    </row>
    <row r="19" spans="1:7" ht="17.25">
      <c r="A19" s="7" t="s">
        <v>48</v>
      </c>
      <c r="B19" s="7">
        <v>1810300711</v>
      </c>
      <c r="C19" s="7" t="s">
        <v>67</v>
      </c>
      <c r="D19" s="7" t="s">
        <v>50</v>
      </c>
      <c r="E19" s="7">
        <v>21</v>
      </c>
      <c r="F19" s="7">
        <v>49</v>
      </c>
      <c r="G19" s="7">
        <v>70</v>
      </c>
    </row>
    <row r="20" spans="1:7" ht="17.25">
      <c r="A20" s="7" t="s">
        <v>48</v>
      </c>
      <c r="B20" s="7">
        <v>1810300713</v>
      </c>
      <c r="C20" s="7" t="s">
        <v>68</v>
      </c>
      <c r="D20" s="7" t="s">
        <v>50</v>
      </c>
      <c r="E20" s="7">
        <v>21</v>
      </c>
      <c r="F20" s="7">
        <v>49</v>
      </c>
      <c r="G20" s="7">
        <v>70</v>
      </c>
    </row>
    <row r="21" spans="1:7" ht="17.25">
      <c r="A21" s="7" t="s">
        <v>48</v>
      </c>
      <c r="B21" s="7">
        <v>1810300720</v>
      </c>
      <c r="C21" s="7" t="s">
        <v>69</v>
      </c>
      <c r="D21" s="7" t="s">
        <v>50</v>
      </c>
      <c r="E21" s="7">
        <v>21</v>
      </c>
      <c r="F21" s="7">
        <v>49</v>
      </c>
      <c r="G21" s="7">
        <v>70</v>
      </c>
    </row>
    <row r="22" spans="1:7" ht="17.25">
      <c r="A22" s="7" t="s">
        <v>48</v>
      </c>
      <c r="B22" s="7">
        <v>1810300722</v>
      </c>
      <c r="C22" s="7" t="s">
        <v>70</v>
      </c>
      <c r="D22" s="7" t="s">
        <v>50</v>
      </c>
      <c r="E22" s="7">
        <v>21</v>
      </c>
      <c r="F22" s="7">
        <v>49</v>
      </c>
      <c r="G22" s="7">
        <v>70</v>
      </c>
    </row>
    <row r="23" spans="1:7" ht="17.25">
      <c r="A23" s="7" t="s">
        <v>48</v>
      </c>
      <c r="B23" s="7">
        <v>1810300801</v>
      </c>
      <c r="C23" s="7" t="s">
        <v>71</v>
      </c>
      <c r="D23" s="7" t="s">
        <v>50</v>
      </c>
      <c r="E23" s="7">
        <v>21</v>
      </c>
      <c r="F23" s="7">
        <v>49</v>
      </c>
      <c r="G23" s="7">
        <v>70</v>
      </c>
    </row>
    <row r="24" spans="1:7" ht="17.25">
      <c r="A24" s="7" t="s">
        <v>48</v>
      </c>
      <c r="B24" s="7">
        <v>1810300814</v>
      </c>
      <c r="C24" s="7" t="s">
        <v>72</v>
      </c>
      <c r="D24" s="7" t="s">
        <v>50</v>
      </c>
      <c r="E24" s="7">
        <v>21</v>
      </c>
      <c r="F24" s="7">
        <v>49</v>
      </c>
      <c r="G24" s="7">
        <v>70</v>
      </c>
    </row>
    <row r="25" spans="1:7" ht="17.25">
      <c r="A25" s="7" t="s">
        <v>48</v>
      </c>
      <c r="B25" s="7">
        <v>1810300918</v>
      </c>
      <c r="C25" s="7" t="s">
        <v>73</v>
      </c>
      <c r="D25" s="7" t="s">
        <v>50</v>
      </c>
      <c r="E25" s="7">
        <v>24</v>
      </c>
      <c r="F25" s="7">
        <v>56</v>
      </c>
      <c r="G25" s="7">
        <v>80</v>
      </c>
    </row>
    <row r="26" spans="1:7" ht="17.25">
      <c r="A26" s="7" t="s">
        <v>48</v>
      </c>
      <c r="B26" s="7">
        <v>1810301028</v>
      </c>
      <c r="C26" s="7" t="s">
        <v>74</v>
      </c>
      <c r="D26" s="7" t="s">
        <v>52</v>
      </c>
      <c r="E26" s="7">
        <v>24</v>
      </c>
      <c r="F26" s="7">
        <v>56</v>
      </c>
      <c r="G26" s="7">
        <v>80</v>
      </c>
    </row>
    <row r="27" spans="1:7" ht="17.25">
      <c r="A27" s="7" t="s">
        <v>48</v>
      </c>
      <c r="B27" s="7">
        <v>1810301104</v>
      </c>
      <c r="C27" s="7" t="s">
        <v>75</v>
      </c>
      <c r="D27" s="7" t="s">
        <v>50</v>
      </c>
      <c r="E27" s="7">
        <v>24</v>
      </c>
      <c r="F27" s="7">
        <v>56</v>
      </c>
      <c r="G27" s="7">
        <v>80</v>
      </c>
    </row>
    <row r="28" spans="1:7" ht="17.25">
      <c r="A28" s="7" t="s">
        <v>48</v>
      </c>
      <c r="B28" s="7">
        <v>1810301115</v>
      </c>
      <c r="C28" s="7" t="s">
        <v>296</v>
      </c>
      <c r="D28" s="7" t="s">
        <v>50</v>
      </c>
      <c r="E28" s="7"/>
      <c r="F28" s="7"/>
      <c r="G28" s="7" t="s">
        <v>297</v>
      </c>
    </row>
    <row r="29" spans="1:7" ht="17.25">
      <c r="A29" s="7" t="s">
        <v>48</v>
      </c>
      <c r="B29" s="7">
        <v>1810301121</v>
      </c>
      <c r="C29" s="7" t="s">
        <v>298</v>
      </c>
      <c r="D29" s="7" t="s">
        <v>50</v>
      </c>
      <c r="E29" s="7"/>
      <c r="F29" s="7"/>
      <c r="G29" s="7" t="s">
        <v>295</v>
      </c>
    </row>
    <row r="30" spans="1:7" ht="17.25">
      <c r="A30" s="7" t="s">
        <v>48</v>
      </c>
      <c r="B30" s="7">
        <v>1810301130</v>
      </c>
      <c r="C30" s="7" t="s">
        <v>76</v>
      </c>
      <c r="D30" s="7" t="s">
        <v>52</v>
      </c>
      <c r="E30" s="7">
        <v>20</v>
      </c>
      <c r="F30" s="7">
        <v>60</v>
      </c>
      <c r="G30" s="7">
        <v>80</v>
      </c>
    </row>
    <row r="31" spans="1:7" ht="17.25">
      <c r="A31" s="7" t="s">
        <v>48</v>
      </c>
      <c r="B31" s="7">
        <v>1810301204</v>
      </c>
      <c r="C31" s="7" t="s">
        <v>77</v>
      </c>
      <c r="D31" s="7" t="s">
        <v>50</v>
      </c>
      <c r="E31" s="7">
        <v>27</v>
      </c>
      <c r="F31" s="7">
        <v>63</v>
      </c>
      <c r="G31" s="7">
        <v>90</v>
      </c>
    </row>
    <row r="32" spans="1:7" ht="17.25">
      <c r="A32" s="7" t="s">
        <v>48</v>
      </c>
      <c r="B32" s="7">
        <v>1710631104</v>
      </c>
      <c r="C32" s="7" t="s">
        <v>299</v>
      </c>
      <c r="D32" s="7" t="s">
        <v>50</v>
      </c>
      <c r="E32" s="7"/>
      <c r="F32" s="7"/>
      <c r="G32" s="7" t="s">
        <v>295</v>
      </c>
    </row>
    <row r="33" spans="1:7" ht="17.25">
      <c r="A33" s="7" t="s">
        <v>48</v>
      </c>
      <c r="B33" s="7">
        <v>1810511103</v>
      </c>
      <c r="C33" s="7" t="s">
        <v>78</v>
      </c>
      <c r="D33" s="7" t="s">
        <v>50</v>
      </c>
      <c r="E33" s="7">
        <v>24</v>
      </c>
      <c r="F33" s="7">
        <v>56</v>
      </c>
      <c r="G33" s="7">
        <v>80</v>
      </c>
    </row>
    <row r="34" spans="1:7">
      <c r="G34"/>
    </row>
    <row r="35" spans="1:7">
      <c r="G35"/>
    </row>
    <row r="36" spans="1:7">
      <c r="G36"/>
    </row>
    <row r="37" spans="1:7">
      <c r="G37"/>
    </row>
    <row r="38" spans="1:7">
      <c r="G38"/>
    </row>
    <row r="39" spans="1:7">
      <c r="G39"/>
    </row>
    <row r="40" spans="1:7">
      <c r="G40"/>
    </row>
    <row r="41" spans="1:7">
      <c r="G41"/>
    </row>
    <row r="42" spans="1:7">
      <c r="G42"/>
    </row>
    <row r="43" spans="1:7">
      <c r="G43"/>
    </row>
    <row r="44" spans="1:7">
      <c r="G44"/>
    </row>
    <row r="45" spans="1:7">
      <c r="G45"/>
    </row>
    <row r="46" spans="1:7">
      <c r="G46"/>
    </row>
    <row r="47" spans="1:7">
      <c r="G47"/>
    </row>
    <row r="48" spans="1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</sheetData>
  <phoneticPr fontId="18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opLeftCell="A6" zoomScale="130" zoomScaleNormal="130" workbookViewId="0">
      <selection activeCell="A2" sqref="A2:XFD30"/>
    </sheetView>
  </sheetViews>
  <sheetFormatPr defaultColWidth="9" defaultRowHeight="13.5"/>
  <cols>
    <col min="1" max="1" width="14.75" style="11" customWidth="1"/>
    <col min="2" max="2" width="15.5" customWidth="1"/>
  </cols>
  <sheetData>
    <row r="1" spans="1:7" ht="17.25">
      <c r="A1" s="5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6" t="s">
        <v>293</v>
      </c>
    </row>
    <row r="2" spans="1:7" ht="17.25">
      <c r="A2" s="7" t="s">
        <v>300</v>
      </c>
      <c r="B2" s="7" t="s">
        <v>81</v>
      </c>
      <c r="C2" s="7" t="s">
        <v>82</v>
      </c>
      <c r="D2" s="7" t="s">
        <v>50</v>
      </c>
      <c r="E2" s="7">
        <v>27</v>
      </c>
      <c r="F2" s="7">
        <v>63</v>
      </c>
      <c r="G2" s="7">
        <v>90</v>
      </c>
    </row>
    <row r="3" spans="1:7" ht="17.25">
      <c r="A3" s="7" t="s">
        <v>300</v>
      </c>
      <c r="B3" s="7" t="s">
        <v>83</v>
      </c>
      <c r="C3" s="7" t="s">
        <v>84</v>
      </c>
      <c r="D3" s="7" t="s">
        <v>50</v>
      </c>
      <c r="E3" s="7">
        <v>27</v>
      </c>
      <c r="F3" s="7">
        <v>63</v>
      </c>
      <c r="G3" s="7">
        <v>90</v>
      </c>
    </row>
    <row r="4" spans="1:7" ht="17.25">
      <c r="A4" s="7" t="s">
        <v>300</v>
      </c>
      <c r="B4" s="7" t="s">
        <v>85</v>
      </c>
      <c r="C4" s="7" t="s">
        <v>86</v>
      </c>
      <c r="D4" s="7" t="s">
        <v>50</v>
      </c>
      <c r="E4" s="7">
        <v>27</v>
      </c>
      <c r="F4" s="7">
        <v>65</v>
      </c>
      <c r="G4" s="7">
        <v>92</v>
      </c>
    </row>
    <row r="5" spans="1:7" ht="17.25">
      <c r="A5" s="7" t="s">
        <v>300</v>
      </c>
      <c r="B5" s="7" t="s">
        <v>87</v>
      </c>
      <c r="C5" s="7" t="s">
        <v>88</v>
      </c>
      <c r="D5" s="7" t="s">
        <v>50</v>
      </c>
      <c r="E5" s="7">
        <v>27</v>
      </c>
      <c r="F5" s="7">
        <v>63</v>
      </c>
      <c r="G5" s="7">
        <v>90</v>
      </c>
    </row>
    <row r="6" spans="1:7" ht="17.25">
      <c r="A6" s="7" t="s">
        <v>300</v>
      </c>
      <c r="B6" s="7" t="s">
        <v>89</v>
      </c>
      <c r="C6" s="7" t="s">
        <v>90</v>
      </c>
      <c r="D6" s="7" t="s">
        <v>50</v>
      </c>
      <c r="E6" s="7">
        <v>21</v>
      </c>
      <c r="F6" s="7">
        <v>50</v>
      </c>
      <c r="G6" s="7">
        <v>71</v>
      </c>
    </row>
    <row r="7" spans="1:7" ht="17.25">
      <c r="A7" s="7" t="s">
        <v>300</v>
      </c>
      <c r="B7" s="7" t="s">
        <v>91</v>
      </c>
      <c r="C7" s="7" t="s">
        <v>92</v>
      </c>
      <c r="D7" s="7" t="s">
        <v>52</v>
      </c>
      <c r="E7" s="7">
        <v>29</v>
      </c>
      <c r="F7" s="7">
        <v>69</v>
      </c>
      <c r="G7" s="7">
        <v>98</v>
      </c>
    </row>
    <row r="8" spans="1:7" ht="17.25">
      <c r="A8" s="7" t="s">
        <v>300</v>
      </c>
      <c r="B8" s="7" t="s">
        <v>93</v>
      </c>
      <c r="C8" s="7" t="s">
        <v>94</v>
      </c>
      <c r="D8" s="7" t="s">
        <v>50</v>
      </c>
      <c r="E8" s="7">
        <v>22</v>
      </c>
      <c r="F8" s="7">
        <v>53</v>
      </c>
      <c r="G8" s="7">
        <v>75</v>
      </c>
    </row>
    <row r="9" spans="1:7" ht="17.25">
      <c r="A9" s="7" t="s">
        <v>300</v>
      </c>
      <c r="B9" s="7" t="s">
        <v>95</v>
      </c>
      <c r="C9" s="7" t="s">
        <v>96</v>
      </c>
      <c r="D9" s="7" t="s">
        <v>50</v>
      </c>
      <c r="E9" s="7">
        <v>22</v>
      </c>
      <c r="F9" s="7">
        <v>53</v>
      </c>
      <c r="G9" s="7">
        <v>75</v>
      </c>
    </row>
    <row r="10" spans="1:7" ht="17.25">
      <c r="A10" s="7" t="s">
        <v>300</v>
      </c>
      <c r="B10" s="7" t="s">
        <v>97</v>
      </c>
      <c r="C10" s="7" t="s">
        <v>98</v>
      </c>
      <c r="D10" s="7" t="s">
        <v>50</v>
      </c>
      <c r="E10" s="7">
        <v>22</v>
      </c>
      <c r="F10" s="7">
        <v>53</v>
      </c>
      <c r="G10" s="7">
        <v>75</v>
      </c>
    </row>
    <row r="11" spans="1:7" ht="17.25">
      <c r="A11" s="7" t="s">
        <v>300</v>
      </c>
      <c r="B11" s="7" t="s">
        <v>99</v>
      </c>
      <c r="C11" s="9" t="s">
        <v>100</v>
      </c>
      <c r="D11" s="7" t="s">
        <v>50</v>
      </c>
      <c r="E11" s="7">
        <v>23</v>
      </c>
      <c r="F11" s="7">
        <v>51</v>
      </c>
      <c r="G11" s="7">
        <v>74</v>
      </c>
    </row>
    <row r="12" spans="1:7" ht="17.25">
      <c r="A12" s="7" t="s">
        <v>300</v>
      </c>
      <c r="B12" s="7" t="s">
        <v>101</v>
      </c>
      <c r="C12" s="7" t="s">
        <v>102</v>
      </c>
      <c r="D12" s="7" t="s">
        <v>50</v>
      </c>
      <c r="E12" s="7">
        <v>23</v>
      </c>
      <c r="F12" s="7">
        <v>51</v>
      </c>
      <c r="G12" s="7">
        <v>74</v>
      </c>
    </row>
    <row r="13" spans="1:7" ht="17.25">
      <c r="A13" s="7" t="s">
        <v>300</v>
      </c>
      <c r="B13" s="7" t="s">
        <v>103</v>
      </c>
      <c r="C13" s="7" t="s">
        <v>104</v>
      </c>
      <c r="D13" s="7" t="s">
        <v>50</v>
      </c>
      <c r="E13" s="7">
        <v>0</v>
      </c>
      <c r="F13" s="7">
        <v>0</v>
      </c>
      <c r="G13" s="7">
        <v>0</v>
      </c>
    </row>
    <row r="14" spans="1:7" ht="17.25">
      <c r="A14" s="7" t="s">
        <v>300</v>
      </c>
      <c r="B14" s="7" t="s">
        <v>105</v>
      </c>
      <c r="C14" s="7" t="s">
        <v>106</v>
      </c>
      <c r="D14" s="7" t="s">
        <v>52</v>
      </c>
      <c r="E14" s="7">
        <v>23</v>
      </c>
      <c r="F14" s="7">
        <v>51</v>
      </c>
      <c r="G14" s="7">
        <v>74</v>
      </c>
    </row>
    <row r="15" spans="1:7" ht="17.25">
      <c r="A15" s="7" t="s">
        <v>300</v>
      </c>
      <c r="B15" s="7" t="s">
        <v>107</v>
      </c>
      <c r="C15" s="7" t="s">
        <v>108</v>
      </c>
      <c r="D15" s="7" t="s">
        <v>52</v>
      </c>
      <c r="E15" s="7">
        <v>24</v>
      </c>
      <c r="F15" s="7">
        <v>56</v>
      </c>
      <c r="G15" s="7">
        <v>80</v>
      </c>
    </row>
    <row r="16" spans="1:7" ht="17.25">
      <c r="A16" s="7" t="s">
        <v>300</v>
      </c>
      <c r="B16" s="7" t="s">
        <v>109</v>
      </c>
      <c r="C16" s="7" t="s">
        <v>110</v>
      </c>
      <c r="D16" s="7" t="s">
        <v>50</v>
      </c>
      <c r="E16" s="7">
        <v>21</v>
      </c>
      <c r="F16" s="7">
        <v>49</v>
      </c>
      <c r="G16" s="7">
        <v>70</v>
      </c>
    </row>
    <row r="17" spans="1:7" ht="17.25">
      <c r="A17" s="7" t="s">
        <v>300</v>
      </c>
      <c r="B17" s="7" t="s">
        <v>111</v>
      </c>
      <c r="C17" s="7" t="s">
        <v>112</v>
      </c>
      <c r="D17" s="7" t="s">
        <v>50</v>
      </c>
      <c r="E17" s="7">
        <v>21</v>
      </c>
      <c r="F17" s="7">
        <v>49</v>
      </c>
      <c r="G17" s="7">
        <v>70</v>
      </c>
    </row>
    <row r="18" spans="1:7" ht="17.25">
      <c r="A18" s="7" t="s">
        <v>300</v>
      </c>
      <c r="B18" s="7" t="s">
        <v>113</v>
      </c>
      <c r="C18" s="7" t="s">
        <v>114</v>
      </c>
      <c r="D18" s="7" t="s">
        <v>50</v>
      </c>
      <c r="E18" s="7">
        <v>21</v>
      </c>
      <c r="F18" s="7">
        <v>49</v>
      </c>
      <c r="G18" s="7">
        <v>70</v>
      </c>
    </row>
    <row r="19" spans="1:7" ht="17.25">
      <c r="A19" s="7" t="s">
        <v>300</v>
      </c>
      <c r="B19" s="7" t="s">
        <v>115</v>
      </c>
      <c r="C19" s="7" t="s">
        <v>116</v>
      </c>
      <c r="D19" s="7" t="s">
        <v>50</v>
      </c>
      <c r="E19" s="7">
        <v>23</v>
      </c>
      <c r="F19" s="7">
        <v>51</v>
      </c>
      <c r="G19" s="7">
        <v>74</v>
      </c>
    </row>
    <row r="20" spans="1:7" ht="17.25">
      <c r="A20" s="7" t="s">
        <v>300</v>
      </c>
      <c r="B20" s="7" t="s">
        <v>117</v>
      </c>
      <c r="C20" s="7" t="s">
        <v>118</v>
      </c>
      <c r="D20" s="7" t="s">
        <v>50</v>
      </c>
      <c r="E20" s="7">
        <v>24</v>
      </c>
      <c r="F20" s="7">
        <v>56</v>
      </c>
      <c r="G20" s="7">
        <v>80</v>
      </c>
    </row>
    <row r="21" spans="1:7" ht="17.25">
      <c r="A21" s="7" t="s">
        <v>300</v>
      </c>
      <c r="B21" s="7" t="s">
        <v>119</v>
      </c>
      <c r="C21" s="7" t="s">
        <v>120</v>
      </c>
      <c r="D21" s="7" t="s">
        <v>50</v>
      </c>
      <c r="E21" s="7">
        <v>24</v>
      </c>
      <c r="F21" s="7">
        <v>56</v>
      </c>
      <c r="G21" s="7">
        <v>80</v>
      </c>
    </row>
    <row r="22" spans="1:7" ht="17.25">
      <c r="A22" s="7" t="s">
        <v>300</v>
      </c>
      <c r="B22" s="7" t="s">
        <v>121</v>
      </c>
      <c r="C22" s="7" t="s">
        <v>122</v>
      </c>
      <c r="D22" s="7" t="s">
        <v>50</v>
      </c>
      <c r="E22" s="7">
        <v>25</v>
      </c>
      <c r="F22" s="7">
        <v>55</v>
      </c>
      <c r="G22" s="7">
        <v>80</v>
      </c>
    </row>
    <row r="23" spans="1:7" ht="17.25">
      <c r="A23" s="7" t="s">
        <v>300</v>
      </c>
      <c r="B23" s="7" t="s">
        <v>123</v>
      </c>
      <c r="C23" s="7" t="s">
        <v>124</v>
      </c>
      <c r="D23" s="7" t="s">
        <v>50</v>
      </c>
      <c r="E23" s="7">
        <v>24</v>
      </c>
      <c r="F23" s="7">
        <v>56</v>
      </c>
      <c r="G23" s="7">
        <v>80</v>
      </c>
    </row>
    <row r="24" spans="1:7" ht="17.25">
      <c r="A24" s="7" t="s">
        <v>300</v>
      </c>
      <c r="B24" s="7" t="s">
        <v>125</v>
      </c>
      <c r="C24" s="7" t="s">
        <v>126</v>
      </c>
      <c r="D24" s="7" t="s">
        <v>50</v>
      </c>
      <c r="E24" s="7">
        <v>24</v>
      </c>
      <c r="F24" s="7">
        <v>56</v>
      </c>
      <c r="G24" s="7">
        <v>80</v>
      </c>
    </row>
    <row r="25" spans="1:7" ht="17.25">
      <c r="A25" s="7" t="s">
        <v>300</v>
      </c>
      <c r="B25" s="7" t="s">
        <v>127</v>
      </c>
      <c r="C25" s="7" t="s">
        <v>128</v>
      </c>
      <c r="D25" s="7" t="s">
        <v>52</v>
      </c>
      <c r="E25" s="7">
        <v>21</v>
      </c>
      <c r="F25" s="7">
        <v>49</v>
      </c>
      <c r="G25" s="7">
        <v>70</v>
      </c>
    </row>
    <row r="26" spans="1:7" ht="17.25">
      <c r="A26" s="7" t="s">
        <v>300</v>
      </c>
      <c r="B26" s="7" t="s">
        <v>129</v>
      </c>
      <c r="C26" s="7" t="s">
        <v>130</v>
      </c>
      <c r="D26" s="7" t="s">
        <v>50</v>
      </c>
      <c r="E26" s="7">
        <v>24</v>
      </c>
      <c r="F26" s="7">
        <v>56</v>
      </c>
      <c r="G26" s="7">
        <v>80</v>
      </c>
    </row>
    <row r="27" spans="1:7" ht="17.25">
      <c r="A27" s="7" t="s">
        <v>300</v>
      </c>
      <c r="B27" s="7" t="s">
        <v>131</v>
      </c>
      <c r="C27" s="7" t="s">
        <v>132</v>
      </c>
      <c r="D27" s="7" t="s">
        <v>50</v>
      </c>
      <c r="E27" s="7">
        <v>24</v>
      </c>
      <c r="F27" s="7">
        <v>56</v>
      </c>
      <c r="G27" s="7">
        <v>80</v>
      </c>
    </row>
    <row r="28" spans="1:7" ht="17.25">
      <c r="A28" s="7" t="s">
        <v>300</v>
      </c>
      <c r="B28" s="7" t="s">
        <v>133</v>
      </c>
      <c r="C28" s="7" t="s">
        <v>134</v>
      </c>
      <c r="D28" s="7" t="s">
        <v>52</v>
      </c>
      <c r="E28" s="7">
        <v>21</v>
      </c>
      <c r="F28" s="7">
        <v>49</v>
      </c>
      <c r="G28" s="7">
        <v>70</v>
      </c>
    </row>
    <row r="29" spans="1:7" ht="17.25">
      <c r="A29" s="7" t="s">
        <v>300</v>
      </c>
      <c r="B29" s="7" t="s">
        <v>135</v>
      </c>
      <c r="C29" s="7" t="s">
        <v>136</v>
      </c>
      <c r="D29" s="7" t="s">
        <v>50</v>
      </c>
      <c r="E29" s="7">
        <v>24</v>
      </c>
      <c r="F29" s="7">
        <v>56</v>
      </c>
      <c r="G29" s="7">
        <v>80</v>
      </c>
    </row>
    <row r="30" spans="1:7" ht="17.25">
      <c r="A30" s="7" t="s">
        <v>300</v>
      </c>
      <c r="B30" s="7" t="s">
        <v>137</v>
      </c>
      <c r="C30" s="7" t="s">
        <v>138</v>
      </c>
      <c r="D30" s="7" t="s">
        <v>50</v>
      </c>
      <c r="E30" s="7">
        <v>24</v>
      </c>
      <c r="F30" s="7">
        <v>56</v>
      </c>
      <c r="G30" s="7">
        <v>80</v>
      </c>
    </row>
    <row r="31" spans="1:7" ht="17.25">
      <c r="A31" s="7" t="s">
        <v>300</v>
      </c>
      <c r="B31" s="7" t="s">
        <v>301</v>
      </c>
      <c r="C31" s="7" t="s">
        <v>302</v>
      </c>
      <c r="D31" s="7" t="s">
        <v>50</v>
      </c>
      <c r="E31" s="7"/>
      <c r="F31" s="7"/>
      <c r="G31" s="7" t="s">
        <v>295</v>
      </c>
    </row>
  </sheetData>
  <phoneticPr fontId="18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6"/>
  <sheetViews>
    <sheetView topLeftCell="A10" workbookViewId="0">
      <selection activeCell="H24" sqref="H24"/>
    </sheetView>
  </sheetViews>
  <sheetFormatPr defaultColWidth="9" defaultRowHeight="17.25"/>
  <cols>
    <col min="1" max="1" width="12.25" customWidth="1"/>
    <col min="2" max="2" width="17.375" customWidth="1"/>
    <col min="3" max="3" width="14.625" customWidth="1"/>
    <col min="7" max="7" width="9" style="7"/>
    <col min="8" max="8" width="34" customWidth="1"/>
    <col min="9" max="9" width="11.5"/>
  </cols>
  <sheetData>
    <row r="1" spans="1:14" ht="16.5">
      <c r="A1" s="6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6" t="s">
        <v>293</v>
      </c>
      <c r="H1" s="6"/>
      <c r="I1" s="6" t="s">
        <v>10</v>
      </c>
      <c r="K1" s="6"/>
      <c r="L1" s="6"/>
      <c r="M1" s="6"/>
      <c r="N1" s="6"/>
    </row>
    <row r="2" spans="1:14">
      <c r="A2" s="7" t="s">
        <v>303</v>
      </c>
      <c r="B2" s="7" t="s">
        <v>140</v>
      </c>
      <c r="C2" s="7" t="s">
        <v>141</v>
      </c>
      <c r="D2" s="7" t="s">
        <v>50</v>
      </c>
      <c r="E2" s="7">
        <v>22</v>
      </c>
      <c r="F2" s="7">
        <v>49</v>
      </c>
      <c r="G2" s="7">
        <v>71</v>
      </c>
      <c r="H2" s="9" t="s">
        <v>304</v>
      </c>
      <c r="I2" s="7" t="s">
        <v>141</v>
      </c>
      <c r="J2" s="7"/>
      <c r="K2" s="7"/>
      <c r="L2" s="7"/>
      <c r="M2" s="7"/>
      <c r="N2" s="7"/>
    </row>
    <row r="3" spans="1:14">
      <c r="A3" s="7" t="s">
        <v>303</v>
      </c>
      <c r="B3" s="7" t="s">
        <v>142</v>
      </c>
      <c r="C3" s="7" t="s">
        <v>143</v>
      </c>
      <c r="D3" s="7" t="s">
        <v>50</v>
      </c>
      <c r="E3" s="7">
        <v>21</v>
      </c>
      <c r="F3" s="7">
        <v>50</v>
      </c>
      <c r="G3" s="7">
        <v>71</v>
      </c>
      <c r="H3" s="7"/>
      <c r="I3" s="7" t="s">
        <v>143</v>
      </c>
      <c r="J3" s="7"/>
      <c r="K3" s="7"/>
      <c r="L3" s="7"/>
      <c r="M3" s="7"/>
      <c r="N3" s="7"/>
    </row>
    <row r="4" spans="1:14">
      <c r="A4" s="7" t="s">
        <v>303</v>
      </c>
      <c r="B4" s="7" t="s">
        <v>144</v>
      </c>
      <c r="C4" s="7" t="s">
        <v>145</v>
      </c>
      <c r="D4" s="7" t="s">
        <v>50</v>
      </c>
      <c r="E4" s="7">
        <v>22</v>
      </c>
      <c r="F4" s="7">
        <v>53</v>
      </c>
      <c r="G4" s="7">
        <v>75</v>
      </c>
      <c r="H4" s="7"/>
      <c r="I4" s="7" t="s">
        <v>145</v>
      </c>
      <c r="J4" s="7" t="s">
        <v>8</v>
      </c>
      <c r="K4" s="7"/>
      <c r="L4" s="7"/>
      <c r="M4" s="7"/>
      <c r="N4" s="7"/>
    </row>
    <row r="5" spans="1:14">
      <c r="A5" s="7" t="s">
        <v>303</v>
      </c>
      <c r="B5" s="7" t="s">
        <v>146</v>
      </c>
      <c r="C5" s="7" t="s">
        <v>147</v>
      </c>
      <c r="D5" s="7" t="s">
        <v>50</v>
      </c>
      <c r="E5" s="7">
        <v>29</v>
      </c>
      <c r="F5" s="7">
        <v>69</v>
      </c>
      <c r="G5" s="7">
        <v>98</v>
      </c>
      <c r="H5" s="29"/>
      <c r="I5" s="7" t="s">
        <v>147</v>
      </c>
      <c r="J5" s="7"/>
      <c r="K5" s="7"/>
      <c r="L5" s="7"/>
      <c r="M5" s="7"/>
      <c r="N5" s="7"/>
    </row>
    <row r="6" spans="1:14">
      <c r="A6" s="7" t="s">
        <v>303</v>
      </c>
      <c r="B6" s="7" t="s">
        <v>148</v>
      </c>
      <c r="C6" s="7" t="s">
        <v>149</v>
      </c>
      <c r="D6" s="7" t="s">
        <v>50</v>
      </c>
      <c r="E6" s="7">
        <v>25</v>
      </c>
      <c r="F6" s="7">
        <v>50</v>
      </c>
      <c r="G6" s="7">
        <v>75</v>
      </c>
      <c r="H6" s="7"/>
      <c r="I6" s="7" t="s">
        <v>149</v>
      </c>
      <c r="J6" s="7"/>
      <c r="K6" s="7"/>
      <c r="L6" s="7"/>
      <c r="M6" s="7"/>
      <c r="N6" s="7"/>
    </row>
    <row r="7" spans="1:14">
      <c r="A7" s="7" t="s">
        <v>303</v>
      </c>
      <c r="B7" s="7" t="s">
        <v>150</v>
      </c>
      <c r="C7" s="7" t="s">
        <v>151</v>
      </c>
      <c r="D7" s="7" t="s">
        <v>52</v>
      </c>
      <c r="E7" s="7">
        <v>30</v>
      </c>
      <c r="F7" s="7">
        <v>68</v>
      </c>
      <c r="G7" s="7">
        <v>98</v>
      </c>
      <c r="H7" s="7"/>
      <c r="I7" s="7" t="s">
        <v>151</v>
      </c>
      <c r="J7" s="7"/>
      <c r="K7" s="7"/>
      <c r="L7" s="7"/>
      <c r="M7" s="7"/>
      <c r="N7" s="7"/>
    </row>
    <row r="8" spans="1:14">
      <c r="A8" s="7" t="s">
        <v>303</v>
      </c>
      <c r="B8" s="7" t="s">
        <v>152</v>
      </c>
      <c r="C8" s="7" t="s">
        <v>153</v>
      </c>
      <c r="D8" s="7" t="s">
        <v>50</v>
      </c>
      <c r="E8" s="7">
        <v>25</v>
      </c>
      <c r="F8" s="7">
        <v>50</v>
      </c>
      <c r="G8" s="7">
        <v>75</v>
      </c>
      <c r="H8" s="7"/>
      <c r="I8" s="7" t="s">
        <v>153</v>
      </c>
      <c r="J8" s="7"/>
      <c r="K8" s="7"/>
      <c r="L8" s="7"/>
      <c r="M8" s="7"/>
      <c r="N8" s="7"/>
    </row>
    <row r="9" spans="1:14">
      <c r="A9" s="7" t="s">
        <v>303</v>
      </c>
      <c r="B9" s="7" t="s">
        <v>305</v>
      </c>
      <c r="C9" s="7" t="s">
        <v>306</v>
      </c>
      <c r="D9" s="7" t="s">
        <v>50</v>
      </c>
      <c r="E9" s="7"/>
      <c r="F9" s="7"/>
      <c r="G9" s="7" t="s">
        <v>295</v>
      </c>
      <c r="H9" s="7"/>
      <c r="I9" s="7" t="s">
        <v>306</v>
      </c>
      <c r="J9" s="7" t="s">
        <v>295</v>
      </c>
      <c r="K9" s="7"/>
      <c r="L9" s="7"/>
      <c r="M9" s="7"/>
      <c r="N9" s="7"/>
    </row>
    <row r="10" spans="1:14">
      <c r="A10" s="7" t="s">
        <v>303</v>
      </c>
      <c r="B10" s="7" t="s">
        <v>154</v>
      </c>
      <c r="C10" s="7" t="s">
        <v>155</v>
      </c>
      <c r="D10" s="7" t="s">
        <v>50</v>
      </c>
      <c r="E10" s="7">
        <v>21</v>
      </c>
      <c r="F10" s="7">
        <v>50</v>
      </c>
      <c r="G10" s="7">
        <v>71</v>
      </c>
      <c r="H10" s="29"/>
      <c r="I10" s="7" t="s">
        <v>155</v>
      </c>
      <c r="J10" s="7"/>
      <c r="K10" s="7"/>
      <c r="L10" s="7"/>
      <c r="M10" s="7"/>
      <c r="N10" s="7"/>
    </row>
    <row r="11" spans="1:14">
      <c r="A11" s="7" t="s">
        <v>303</v>
      </c>
      <c r="B11" s="7" t="s">
        <v>156</v>
      </c>
      <c r="C11" s="9" t="s">
        <v>157</v>
      </c>
      <c r="D11" s="7" t="s">
        <v>52</v>
      </c>
      <c r="E11" s="7">
        <v>30</v>
      </c>
      <c r="F11" s="7">
        <v>68</v>
      </c>
      <c r="G11" s="7">
        <v>98</v>
      </c>
      <c r="H11" s="1"/>
      <c r="I11" s="9" t="s">
        <v>157</v>
      </c>
      <c r="J11" s="7"/>
      <c r="K11" s="7"/>
      <c r="L11" s="7"/>
      <c r="M11" s="7"/>
      <c r="N11" s="7"/>
    </row>
    <row r="12" spans="1:14">
      <c r="A12" s="7" t="s">
        <v>303</v>
      </c>
      <c r="B12" s="7" t="s">
        <v>307</v>
      </c>
      <c r="C12" s="7" t="s">
        <v>308</v>
      </c>
      <c r="D12" s="7" t="s">
        <v>50</v>
      </c>
      <c r="E12" s="7"/>
      <c r="F12" s="7"/>
      <c r="G12" s="7" t="s">
        <v>295</v>
      </c>
      <c r="H12" s="7"/>
      <c r="I12" s="7" t="s">
        <v>308</v>
      </c>
      <c r="J12" s="7" t="s">
        <v>295</v>
      </c>
      <c r="K12" s="7"/>
      <c r="L12" s="7"/>
      <c r="M12" s="7"/>
      <c r="N12" s="7"/>
    </row>
    <row r="13" spans="1:14">
      <c r="A13" s="7" t="s">
        <v>303</v>
      </c>
      <c r="B13" s="7" t="s">
        <v>158</v>
      </c>
      <c r="C13" s="7" t="s">
        <v>159</v>
      </c>
      <c r="D13" s="7" t="s">
        <v>50</v>
      </c>
      <c r="E13" s="7">
        <v>0</v>
      </c>
      <c r="F13" s="7">
        <v>0</v>
      </c>
      <c r="G13" s="7">
        <v>0</v>
      </c>
      <c r="H13" s="7" t="s">
        <v>309</v>
      </c>
      <c r="I13" s="7" t="s">
        <v>159</v>
      </c>
      <c r="J13" s="7"/>
      <c r="K13" s="7"/>
      <c r="L13" s="7"/>
      <c r="M13" s="7"/>
      <c r="N13" s="7"/>
    </row>
    <row r="14" spans="1:14">
      <c r="A14" s="7" t="s">
        <v>303</v>
      </c>
      <c r="B14" s="7" t="s">
        <v>160</v>
      </c>
      <c r="C14" s="7" t="s">
        <v>161</v>
      </c>
      <c r="D14" s="7" t="s">
        <v>50</v>
      </c>
      <c r="E14" s="7">
        <v>21</v>
      </c>
      <c r="F14" s="7">
        <v>49</v>
      </c>
      <c r="G14" s="7">
        <v>70</v>
      </c>
      <c r="H14" s="7"/>
      <c r="I14" s="7" t="s">
        <v>161</v>
      </c>
      <c r="J14" s="7"/>
      <c r="K14" s="7"/>
      <c r="L14" s="7"/>
      <c r="M14" s="7"/>
      <c r="N14" s="7"/>
    </row>
    <row r="15" spans="1:14">
      <c r="A15" s="7" t="s">
        <v>303</v>
      </c>
      <c r="B15" s="7" t="s">
        <v>162</v>
      </c>
      <c r="C15" s="7" t="s">
        <v>163</v>
      </c>
      <c r="D15" s="7" t="s">
        <v>50</v>
      </c>
      <c r="E15" s="7">
        <v>21</v>
      </c>
      <c r="F15" s="7">
        <v>49</v>
      </c>
      <c r="G15" s="7">
        <v>70</v>
      </c>
      <c r="H15" s="7"/>
      <c r="I15" s="7" t="s">
        <v>163</v>
      </c>
      <c r="J15" s="7"/>
      <c r="K15" s="7"/>
      <c r="L15" s="7"/>
      <c r="M15" s="7"/>
      <c r="N15" s="7"/>
    </row>
    <row r="16" spans="1:14">
      <c r="A16" s="7" t="s">
        <v>303</v>
      </c>
      <c r="B16" s="7" t="s">
        <v>164</v>
      </c>
      <c r="C16" s="7" t="s">
        <v>165</v>
      </c>
      <c r="D16" s="7" t="s">
        <v>50</v>
      </c>
      <c r="E16" s="7">
        <v>30</v>
      </c>
      <c r="F16" s="7">
        <v>68</v>
      </c>
      <c r="G16" s="7">
        <v>98</v>
      </c>
      <c r="H16" s="7"/>
      <c r="I16" s="7" t="s">
        <v>165</v>
      </c>
      <c r="J16" s="7"/>
      <c r="K16" s="7"/>
      <c r="L16" s="7"/>
      <c r="M16" s="7"/>
      <c r="N16" s="7"/>
    </row>
    <row r="17" spans="1:14">
      <c r="A17" s="7" t="s">
        <v>303</v>
      </c>
      <c r="B17" s="7" t="s">
        <v>166</v>
      </c>
      <c r="C17" s="7" t="s">
        <v>167</v>
      </c>
      <c r="D17" s="7" t="s">
        <v>50</v>
      </c>
      <c r="E17" s="7">
        <v>25</v>
      </c>
      <c r="F17" s="7">
        <v>50</v>
      </c>
      <c r="G17" s="7">
        <v>75</v>
      </c>
      <c r="H17" s="7"/>
      <c r="I17" s="7" t="s">
        <v>167</v>
      </c>
      <c r="J17" s="7"/>
      <c r="K17" s="7"/>
      <c r="L17" s="7"/>
      <c r="M17" s="7"/>
      <c r="N17" s="7"/>
    </row>
    <row r="18" spans="1:14">
      <c r="A18" s="7" t="s">
        <v>303</v>
      </c>
      <c r="B18" s="7" t="s">
        <v>168</v>
      </c>
      <c r="C18" s="7" t="s">
        <v>169</v>
      </c>
      <c r="D18" s="7" t="s">
        <v>50</v>
      </c>
      <c r="E18" s="7">
        <v>30</v>
      </c>
      <c r="F18" s="7">
        <v>69</v>
      </c>
      <c r="G18" s="7">
        <v>99</v>
      </c>
      <c r="H18" s="7"/>
      <c r="I18" s="7" t="s">
        <v>169</v>
      </c>
      <c r="J18" s="7"/>
      <c r="K18" s="7"/>
      <c r="L18" s="7"/>
      <c r="M18" s="7"/>
      <c r="N18" s="7"/>
    </row>
    <row r="19" spans="1:14">
      <c r="A19" s="7" t="s">
        <v>303</v>
      </c>
      <c r="B19" s="7" t="s">
        <v>170</v>
      </c>
      <c r="C19" s="7" t="s">
        <v>171</v>
      </c>
      <c r="D19" s="7" t="s">
        <v>50</v>
      </c>
      <c r="E19" s="7">
        <v>30</v>
      </c>
      <c r="F19" s="7">
        <v>68</v>
      </c>
      <c r="G19" s="7">
        <v>98</v>
      </c>
      <c r="H19" s="7"/>
      <c r="I19" s="7" t="s">
        <v>171</v>
      </c>
      <c r="J19" s="7"/>
      <c r="K19" s="7"/>
      <c r="L19" s="7"/>
      <c r="M19" s="7"/>
      <c r="N19" s="7"/>
    </row>
    <row r="20" spans="1:14">
      <c r="A20" s="7" t="s">
        <v>303</v>
      </c>
      <c r="B20" s="7" t="s">
        <v>172</v>
      </c>
      <c r="C20" s="7" t="s">
        <v>173</v>
      </c>
      <c r="D20" s="7" t="s">
        <v>50</v>
      </c>
      <c r="E20" s="7">
        <v>30</v>
      </c>
      <c r="F20" s="7">
        <v>68</v>
      </c>
      <c r="G20" s="7">
        <v>98</v>
      </c>
      <c r="H20" s="7"/>
      <c r="I20" s="7" t="s">
        <v>173</v>
      </c>
      <c r="J20" s="7"/>
      <c r="K20" s="7"/>
      <c r="L20" s="7"/>
      <c r="M20" s="7"/>
      <c r="N20" s="7"/>
    </row>
    <row r="21" spans="1:14" ht="18.95" customHeight="1">
      <c r="A21" s="7" t="s">
        <v>303</v>
      </c>
      <c r="B21" s="7" t="s">
        <v>174</v>
      </c>
      <c r="C21" s="7" t="s">
        <v>175</v>
      </c>
      <c r="D21" s="7" t="s">
        <v>50</v>
      </c>
      <c r="E21" s="7">
        <v>0</v>
      </c>
      <c r="F21" s="7">
        <v>60</v>
      </c>
      <c r="G21" s="7">
        <v>60</v>
      </c>
      <c r="H21" s="9" t="s">
        <v>310</v>
      </c>
      <c r="I21" s="7" t="s">
        <v>175</v>
      </c>
      <c r="J21" s="7"/>
      <c r="K21" s="7"/>
      <c r="L21" s="7"/>
      <c r="M21" s="7"/>
      <c r="N21" s="7"/>
    </row>
    <row r="22" spans="1:14">
      <c r="A22" s="7" t="s">
        <v>303</v>
      </c>
      <c r="B22" s="7" t="s">
        <v>176</v>
      </c>
      <c r="C22" s="7" t="s">
        <v>177</v>
      </c>
      <c r="D22" s="7" t="s">
        <v>50</v>
      </c>
      <c r="E22" s="7">
        <v>20</v>
      </c>
      <c r="F22" s="7">
        <v>60</v>
      </c>
      <c r="G22" s="7">
        <v>80</v>
      </c>
      <c r="H22" s="7"/>
      <c r="I22" s="7" t="s">
        <v>177</v>
      </c>
      <c r="J22" s="7"/>
      <c r="K22" s="7"/>
      <c r="L22" s="7"/>
      <c r="M22" s="7"/>
      <c r="N22" s="7"/>
    </row>
    <row r="23" spans="1:14">
      <c r="A23" s="7" t="s">
        <v>303</v>
      </c>
      <c r="B23" s="7" t="s">
        <v>178</v>
      </c>
      <c r="C23" s="7" t="s">
        <v>179</v>
      </c>
      <c r="D23" s="7" t="s">
        <v>50</v>
      </c>
      <c r="E23" s="7">
        <v>21</v>
      </c>
      <c r="F23" s="7">
        <v>49</v>
      </c>
      <c r="G23" s="7">
        <v>70</v>
      </c>
      <c r="H23" s="7"/>
      <c r="I23" s="7" t="s">
        <v>179</v>
      </c>
      <c r="J23" s="7"/>
      <c r="K23" s="7"/>
      <c r="L23" s="7"/>
      <c r="M23" s="7"/>
      <c r="N23" s="7"/>
    </row>
    <row r="24" spans="1:14">
      <c r="A24" s="7" t="s">
        <v>303</v>
      </c>
      <c r="B24" s="7" t="s">
        <v>180</v>
      </c>
      <c r="C24" s="7" t="s">
        <v>181</v>
      </c>
      <c r="D24" s="7" t="s">
        <v>50</v>
      </c>
      <c r="E24" s="7">
        <v>21</v>
      </c>
      <c r="F24" s="7">
        <v>49</v>
      </c>
      <c r="G24" s="7">
        <v>70</v>
      </c>
      <c r="H24" s="7"/>
      <c r="I24" s="7" t="s">
        <v>181</v>
      </c>
      <c r="J24" s="7"/>
      <c r="K24" s="7"/>
      <c r="L24" s="7"/>
      <c r="M24" s="7"/>
      <c r="N24" s="7"/>
    </row>
    <row r="25" spans="1:14">
      <c r="A25" s="7" t="s">
        <v>303</v>
      </c>
      <c r="B25" s="7" t="s">
        <v>182</v>
      </c>
      <c r="C25" s="7" t="s">
        <v>183</v>
      </c>
      <c r="D25" s="7" t="s">
        <v>52</v>
      </c>
      <c r="E25" s="7">
        <v>21</v>
      </c>
      <c r="F25" s="7">
        <v>49</v>
      </c>
      <c r="G25" s="7">
        <v>70</v>
      </c>
      <c r="H25" s="7"/>
      <c r="I25" s="7" t="s">
        <v>183</v>
      </c>
      <c r="J25" s="7"/>
      <c r="K25" s="7"/>
      <c r="L25" s="7"/>
      <c r="M25" s="7"/>
      <c r="N25" s="7"/>
    </row>
    <row r="26" spans="1:14">
      <c r="A26" s="7" t="s">
        <v>303</v>
      </c>
      <c r="B26" s="7" t="s">
        <v>184</v>
      </c>
      <c r="C26" s="7" t="s">
        <v>185</v>
      </c>
      <c r="D26" s="7" t="s">
        <v>52</v>
      </c>
      <c r="E26" s="7">
        <v>20</v>
      </c>
      <c r="F26" s="7">
        <v>60</v>
      </c>
      <c r="G26" s="7">
        <v>80</v>
      </c>
      <c r="H26" s="7"/>
      <c r="I26" s="7" t="s">
        <v>185</v>
      </c>
      <c r="J26" s="7"/>
      <c r="K26" s="7"/>
      <c r="L26" s="7"/>
      <c r="M26" s="7"/>
      <c r="N26" s="7"/>
    </row>
    <row r="27" spans="1:14">
      <c r="A27" s="7" t="s">
        <v>303</v>
      </c>
      <c r="B27" s="7" t="s">
        <v>186</v>
      </c>
      <c r="C27" s="7" t="s">
        <v>187</v>
      </c>
      <c r="D27" s="7" t="s">
        <v>52</v>
      </c>
      <c r="E27" s="7">
        <v>21</v>
      </c>
      <c r="F27" s="7">
        <v>49</v>
      </c>
      <c r="G27" s="7">
        <v>70</v>
      </c>
      <c r="H27" s="7"/>
      <c r="I27" s="7" t="s">
        <v>187</v>
      </c>
      <c r="J27" s="7"/>
      <c r="K27" s="7"/>
      <c r="L27" s="7"/>
      <c r="M27" s="7"/>
      <c r="N27" s="7"/>
    </row>
    <row r="28" spans="1:14">
      <c r="A28" s="7" t="s">
        <v>303</v>
      </c>
      <c r="B28" s="7" t="s">
        <v>188</v>
      </c>
      <c r="C28" s="7" t="s">
        <v>189</v>
      </c>
      <c r="D28" s="7" t="s">
        <v>50</v>
      </c>
      <c r="E28" s="7">
        <v>25</v>
      </c>
      <c r="F28" s="7">
        <v>50</v>
      </c>
      <c r="G28" s="7">
        <v>75</v>
      </c>
      <c r="H28" s="7"/>
      <c r="I28" s="7" t="s">
        <v>189</v>
      </c>
      <c r="J28" s="7"/>
      <c r="K28" s="7"/>
      <c r="L28" s="7"/>
      <c r="M28" s="7"/>
      <c r="N28" s="7"/>
    </row>
    <row r="29" spans="1:14">
      <c r="A29" s="7" t="s">
        <v>303</v>
      </c>
      <c r="B29" s="7" t="s">
        <v>190</v>
      </c>
      <c r="C29" s="7" t="s">
        <v>191</v>
      </c>
      <c r="D29" s="7" t="s">
        <v>50</v>
      </c>
      <c r="E29" s="7">
        <v>25</v>
      </c>
      <c r="F29" s="7">
        <v>50</v>
      </c>
      <c r="G29" s="7">
        <v>75</v>
      </c>
      <c r="H29" s="7"/>
      <c r="I29" s="7" t="s">
        <v>191</v>
      </c>
      <c r="J29" s="7"/>
      <c r="K29" s="7"/>
      <c r="L29" s="7"/>
      <c r="M29" s="7"/>
      <c r="N29" s="7"/>
    </row>
    <row r="30" spans="1:14">
      <c r="A30" s="7" t="s">
        <v>303</v>
      </c>
      <c r="B30" s="7" t="s">
        <v>311</v>
      </c>
      <c r="C30" s="7" t="s">
        <v>312</v>
      </c>
      <c r="D30" s="7" t="s">
        <v>50</v>
      </c>
      <c r="E30" s="7"/>
      <c r="F30" s="7"/>
      <c r="G30" s="7" t="s">
        <v>295</v>
      </c>
      <c r="H30" s="7"/>
      <c r="I30" s="7" t="s">
        <v>312</v>
      </c>
      <c r="K30" s="7"/>
      <c r="L30" s="7"/>
      <c r="M30" s="7"/>
      <c r="N30" s="7"/>
    </row>
    <row r="31" spans="1:14">
      <c r="A31" s="7" t="s">
        <v>303</v>
      </c>
      <c r="B31" s="21">
        <v>1810301209</v>
      </c>
      <c r="C31" s="21" t="s">
        <v>192</v>
      </c>
      <c r="D31" s="21" t="s">
        <v>50</v>
      </c>
      <c r="E31" s="7">
        <v>24</v>
      </c>
      <c r="F31" s="7">
        <v>56</v>
      </c>
      <c r="G31" s="7">
        <v>80</v>
      </c>
      <c r="H31" s="7"/>
      <c r="I31" s="21" t="s">
        <v>192</v>
      </c>
      <c r="K31" s="7"/>
      <c r="L31" s="7"/>
      <c r="M31" s="7"/>
      <c r="N31" s="7"/>
    </row>
    <row r="32" spans="1:14">
      <c r="A32" s="7" t="s">
        <v>303</v>
      </c>
      <c r="B32" s="7" t="s">
        <v>193</v>
      </c>
      <c r="C32" s="23" t="s">
        <v>194</v>
      </c>
      <c r="D32" s="23" t="s">
        <v>50</v>
      </c>
      <c r="E32" s="7">
        <v>25</v>
      </c>
      <c r="F32" s="7">
        <v>50</v>
      </c>
      <c r="G32" s="7">
        <v>75</v>
      </c>
      <c r="H32" s="1"/>
      <c r="I32" s="23" t="s">
        <v>194</v>
      </c>
      <c r="J32" s="7"/>
      <c r="K32" s="7"/>
      <c r="L32" s="7"/>
      <c r="M32" s="7"/>
      <c r="N32" s="7"/>
    </row>
    <row r="33" spans="1:14">
      <c r="A33" s="7" t="s">
        <v>303</v>
      </c>
      <c r="B33" s="7" t="s">
        <v>195</v>
      </c>
      <c r="C33" s="23" t="s">
        <v>196</v>
      </c>
      <c r="D33" s="23" t="s">
        <v>50</v>
      </c>
      <c r="E33" s="7">
        <v>25</v>
      </c>
      <c r="F33" s="7">
        <v>50</v>
      </c>
      <c r="G33" s="7">
        <v>75</v>
      </c>
      <c r="H33" s="1"/>
      <c r="I33" s="23" t="s">
        <v>196</v>
      </c>
      <c r="J33" s="7"/>
      <c r="K33" s="7"/>
      <c r="L33" s="7"/>
      <c r="M33" s="7"/>
      <c r="N33" s="7"/>
    </row>
    <row r="34" spans="1:14" ht="14.25">
      <c r="A34" s="1"/>
      <c r="B34" s="1"/>
      <c r="C34" s="1"/>
      <c r="D34" s="1"/>
      <c r="E34" t="s">
        <v>8</v>
      </c>
      <c r="F34" t="s">
        <v>8</v>
      </c>
      <c r="G34"/>
      <c r="J34" s="1"/>
    </row>
    <row r="35" spans="1:14" ht="13.5">
      <c r="G35"/>
      <c r="H35">
        <v>26</v>
      </c>
    </row>
    <row r="36" spans="1:14" ht="13.5">
      <c r="G36"/>
    </row>
    <row r="37" spans="1:14" ht="13.5">
      <c r="G37"/>
    </row>
    <row r="38" spans="1:14" ht="13.5">
      <c r="G38"/>
    </row>
    <row r="39" spans="1:14" ht="13.5">
      <c r="G39"/>
    </row>
    <row r="40" spans="1:14" ht="13.5">
      <c r="G40"/>
    </row>
    <row r="41" spans="1:14" ht="13.5">
      <c r="G41"/>
    </row>
    <row r="42" spans="1:14" ht="13.5">
      <c r="G42"/>
    </row>
    <row r="43" spans="1:14" ht="13.5">
      <c r="G43"/>
    </row>
    <row r="44" spans="1:14" ht="13.5">
      <c r="G44"/>
    </row>
    <row r="45" spans="1:14" ht="13.5">
      <c r="G45"/>
    </row>
    <row r="46" spans="1:14" ht="13.5">
      <c r="G46"/>
    </row>
    <row r="47" spans="1:14" ht="13.5">
      <c r="G47"/>
    </row>
    <row r="48" spans="1:14" ht="13.5">
      <c r="G48"/>
    </row>
    <row r="49" spans="7:7" ht="13.5">
      <c r="G49"/>
    </row>
    <row r="50" spans="7:7" ht="13.5">
      <c r="G50"/>
    </row>
    <row r="51" spans="7:7" ht="13.5">
      <c r="G51"/>
    </row>
    <row r="52" spans="7:7" ht="13.5">
      <c r="G52"/>
    </row>
    <row r="53" spans="7:7" ht="13.5">
      <c r="G53"/>
    </row>
    <row r="54" spans="7:7" ht="13.5">
      <c r="G54"/>
    </row>
    <row r="55" spans="7:7" ht="13.5">
      <c r="G55"/>
    </row>
    <row r="56" spans="7:7" ht="13.5">
      <c r="G56"/>
    </row>
  </sheetData>
  <phoneticPr fontId="18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0"/>
  <sheetViews>
    <sheetView workbookViewId="0">
      <selection activeCell="A32" sqref="A2:XFD32"/>
    </sheetView>
  </sheetViews>
  <sheetFormatPr defaultColWidth="9" defaultRowHeight="17.25"/>
  <cols>
    <col min="7" max="7" width="9" style="7"/>
  </cols>
  <sheetData>
    <row r="1" spans="1:9">
      <c r="A1" s="5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6" t="s">
        <v>293</v>
      </c>
      <c r="H1" s="6"/>
      <c r="I1" s="6" t="s">
        <v>11</v>
      </c>
    </row>
    <row r="2" spans="1:9">
      <c r="A2" s="18" t="s">
        <v>197</v>
      </c>
      <c r="B2" s="19">
        <v>1810300117</v>
      </c>
      <c r="C2" s="18" t="s">
        <v>198</v>
      </c>
      <c r="D2" s="18" t="s">
        <v>199</v>
      </c>
      <c r="E2" s="7">
        <v>18</v>
      </c>
      <c r="F2" s="7">
        <v>42</v>
      </c>
      <c r="G2" s="7">
        <v>60</v>
      </c>
      <c r="H2" s="7">
        <f>E2+F2</f>
        <v>60</v>
      </c>
      <c r="I2" s="18" t="s">
        <v>198</v>
      </c>
    </row>
    <row r="3" spans="1:9">
      <c r="A3" s="18" t="s">
        <v>197</v>
      </c>
      <c r="B3" s="19">
        <v>1810300120</v>
      </c>
      <c r="C3" s="18" t="s">
        <v>200</v>
      </c>
      <c r="D3" s="18" t="s">
        <v>199</v>
      </c>
      <c r="E3" s="7">
        <v>18</v>
      </c>
      <c r="F3" s="7">
        <v>42</v>
      </c>
      <c r="G3" s="7">
        <v>60</v>
      </c>
      <c r="H3" s="7">
        <f t="shared" ref="H3:H32" si="0">E3+F3</f>
        <v>60</v>
      </c>
      <c r="I3" s="18" t="s">
        <v>200</v>
      </c>
    </row>
    <row r="4" spans="1:9">
      <c r="A4" s="18" t="s">
        <v>197</v>
      </c>
      <c r="B4" s="19">
        <v>1810300221</v>
      </c>
      <c r="C4" s="18" t="s">
        <v>201</v>
      </c>
      <c r="D4" s="18" t="s">
        <v>199</v>
      </c>
      <c r="E4" s="7">
        <v>21</v>
      </c>
      <c r="F4" s="7">
        <v>50</v>
      </c>
      <c r="G4" s="7">
        <v>71</v>
      </c>
      <c r="H4" s="7">
        <f t="shared" si="0"/>
        <v>71</v>
      </c>
      <c r="I4" s="18" t="s">
        <v>201</v>
      </c>
    </row>
    <row r="5" spans="1:9">
      <c r="A5" s="18" t="s">
        <v>197</v>
      </c>
      <c r="B5" s="19">
        <v>1810300318</v>
      </c>
      <c r="C5" s="18" t="s">
        <v>202</v>
      </c>
      <c r="D5" s="18" t="s">
        <v>199</v>
      </c>
      <c r="E5" s="7">
        <v>42</v>
      </c>
      <c r="F5" s="7">
        <v>18</v>
      </c>
      <c r="G5" s="7">
        <v>60</v>
      </c>
      <c r="H5" s="7">
        <f t="shared" si="0"/>
        <v>60</v>
      </c>
      <c r="I5" s="18" t="s">
        <v>202</v>
      </c>
    </row>
    <row r="6" spans="1:9">
      <c r="A6" s="18" t="s">
        <v>197</v>
      </c>
      <c r="B6" s="19">
        <v>1810300404</v>
      </c>
      <c r="C6" s="18" t="s">
        <v>203</v>
      </c>
      <c r="D6" s="18" t="s">
        <v>199</v>
      </c>
      <c r="E6" s="7">
        <v>29</v>
      </c>
      <c r="F6" s="7">
        <v>69</v>
      </c>
      <c r="G6" s="7">
        <v>98</v>
      </c>
      <c r="H6" s="7">
        <f t="shared" si="0"/>
        <v>98</v>
      </c>
      <c r="I6" s="18" t="s">
        <v>203</v>
      </c>
    </row>
    <row r="7" spans="1:9">
      <c r="A7" s="18" t="s">
        <v>197</v>
      </c>
      <c r="B7" s="19">
        <v>1810300504</v>
      </c>
      <c r="C7" s="18" t="s">
        <v>204</v>
      </c>
      <c r="D7" s="18" t="s">
        <v>199</v>
      </c>
      <c r="E7" s="7">
        <v>29</v>
      </c>
      <c r="F7" s="7">
        <v>69</v>
      </c>
      <c r="G7" s="7">
        <v>98</v>
      </c>
      <c r="H7" s="7">
        <f t="shared" si="0"/>
        <v>98</v>
      </c>
      <c r="I7" s="18" t="s">
        <v>204</v>
      </c>
    </row>
    <row r="8" spans="1:9">
      <c r="A8" s="18" t="s">
        <v>197</v>
      </c>
      <c r="B8" s="19">
        <v>1810300512</v>
      </c>
      <c r="C8" s="18" t="s">
        <v>205</v>
      </c>
      <c r="D8" s="18" t="s">
        <v>199</v>
      </c>
      <c r="E8" s="7">
        <v>21</v>
      </c>
      <c r="F8" s="7">
        <v>49</v>
      </c>
      <c r="G8" s="7">
        <v>70</v>
      </c>
      <c r="H8" s="7">
        <f t="shared" si="0"/>
        <v>70</v>
      </c>
      <c r="I8" s="18" t="s">
        <v>205</v>
      </c>
    </row>
    <row r="9" spans="1:9">
      <c r="A9" s="18" t="s">
        <v>197</v>
      </c>
      <c r="B9" s="19">
        <v>1810300605</v>
      </c>
      <c r="C9" s="18" t="s">
        <v>206</v>
      </c>
      <c r="D9" s="18" t="s">
        <v>199</v>
      </c>
      <c r="E9" s="7">
        <v>21</v>
      </c>
      <c r="F9" s="7">
        <v>49</v>
      </c>
      <c r="G9" s="7">
        <v>70</v>
      </c>
      <c r="H9" s="7">
        <f t="shared" si="0"/>
        <v>70</v>
      </c>
      <c r="I9" s="18" t="s">
        <v>206</v>
      </c>
    </row>
    <row r="10" spans="1:9">
      <c r="A10" s="18" t="s">
        <v>197</v>
      </c>
      <c r="B10" s="19">
        <v>1810300612</v>
      </c>
      <c r="C10" s="18" t="s">
        <v>207</v>
      </c>
      <c r="D10" s="18" t="s">
        <v>199</v>
      </c>
      <c r="E10" s="7">
        <v>21</v>
      </c>
      <c r="F10" s="7">
        <v>49</v>
      </c>
      <c r="G10" s="7">
        <v>70</v>
      </c>
      <c r="H10" s="7">
        <f t="shared" si="0"/>
        <v>70</v>
      </c>
      <c r="I10" s="18" t="s">
        <v>207</v>
      </c>
    </row>
    <row r="11" spans="1:9">
      <c r="A11" s="18" t="s">
        <v>197</v>
      </c>
      <c r="B11" s="19">
        <v>1810300627</v>
      </c>
      <c r="C11" s="18" t="s">
        <v>313</v>
      </c>
      <c r="D11" s="18" t="s">
        <v>209</v>
      </c>
      <c r="E11" s="7">
        <v>20</v>
      </c>
      <c r="F11" s="7">
        <v>45</v>
      </c>
      <c r="G11" s="7">
        <v>65</v>
      </c>
      <c r="H11" s="7">
        <f t="shared" si="0"/>
        <v>65</v>
      </c>
      <c r="I11" s="18" t="s">
        <v>313</v>
      </c>
    </row>
    <row r="12" spans="1:9">
      <c r="A12" s="18" t="s">
        <v>197</v>
      </c>
      <c r="B12" s="19">
        <v>1810300628</v>
      </c>
      <c r="C12" s="18" t="s">
        <v>210</v>
      </c>
      <c r="D12" s="18" t="s">
        <v>209</v>
      </c>
      <c r="E12" s="7">
        <v>22</v>
      </c>
      <c r="F12" s="7">
        <v>43</v>
      </c>
      <c r="G12" s="7">
        <v>65</v>
      </c>
      <c r="H12" s="7">
        <f t="shared" si="0"/>
        <v>65</v>
      </c>
      <c r="I12" s="18" t="s">
        <v>210</v>
      </c>
    </row>
    <row r="13" spans="1:9">
      <c r="A13" s="18" t="s">
        <v>197</v>
      </c>
      <c r="B13" s="19">
        <v>1810300629</v>
      </c>
      <c r="C13" s="18" t="s">
        <v>211</v>
      </c>
      <c r="D13" s="18" t="s">
        <v>209</v>
      </c>
      <c r="E13" s="7">
        <v>22</v>
      </c>
      <c r="F13" s="7">
        <v>43</v>
      </c>
      <c r="G13" s="7">
        <v>65</v>
      </c>
      <c r="H13" s="7">
        <f t="shared" si="0"/>
        <v>65</v>
      </c>
      <c r="I13" s="18" t="s">
        <v>211</v>
      </c>
    </row>
    <row r="14" spans="1:9">
      <c r="A14" s="18" t="s">
        <v>197</v>
      </c>
      <c r="B14" s="19">
        <v>1810300709</v>
      </c>
      <c r="C14" s="18" t="s">
        <v>212</v>
      </c>
      <c r="D14" s="18" t="s">
        <v>199</v>
      </c>
      <c r="E14" s="7">
        <v>18</v>
      </c>
      <c r="F14" s="7">
        <v>42</v>
      </c>
      <c r="G14" s="7">
        <v>60</v>
      </c>
      <c r="H14" s="7">
        <f t="shared" si="0"/>
        <v>60</v>
      </c>
      <c r="I14" s="18" t="s">
        <v>212</v>
      </c>
    </row>
    <row r="15" spans="1:9">
      <c r="A15" s="18" t="s">
        <v>197</v>
      </c>
      <c r="B15" s="19">
        <v>1810300721</v>
      </c>
      <c r="C15" s="18" t="s">
        <v>213</v>
      </c>
      <c r="D15" s="18" t="s">
        <v>199</v>
      </c>
      <c r="E15" s="7">
        <v>18</v>
      </c>
      <c r="F15" s="7">
        <v>42</v>
      </c>
      <c r="G15" s="7">
        <v>60</v>
      </c>
      <c r="H15" s="7">
        <f t="shared" si="0"/>
        <v>60</v>
      </c>
      <c r="I15" s="18" t="s">
        <v>213</v>
      </c>
    </row>
    <row r="16" spans="1:9">
      <c r="A16" s="18" t="s">
        <v>197</v>
      </c>
      <c r="B16" s="19">
        <v>1810300819</v>
      </c>
      <c r="C16" s="18" t="s">
        <v>214</v>
      </c>
      <c r="D16" s="18" t="s">
        <v>199</v>
      </c>
      <c r="E16" s="7"/>
      <c r="F16" s="7"/>
      <c r="G16" s="7" t="s">
        <v>314</v>
      </c>
      <c r="H16" s="7">
        <f t="shared" si="0"/>
        <v>0</v>
      </c>
      <c r="I16" s="18" t="s">
        <v>214</v>
      </c>
    </row>
    <row r="17" spans="1:15">
      <c r="A17" s="18" t="s">
        <v>197</v>
      </c>
      <c r="B17" s="19">
        <v>1810300932</v>
      </c>
      <c r="C17" s="18" t="s">
        <v>315</v>
      </c>
      <c r="D17" s="18" t="s">
        <v>209</v>
      </c>
      <c r="E17" s="7"/>
      <c r="F17" s="7"/>
      <c r="G17" s="7" t="s">
        <v>316</v>
      </c>
      <c r="H17" s="7">
        <f t="shared" si="0"/>
        <v>0</v>
      </c>
      <c r="I17" s="18" t="s">
        <v>315</v>
      </c>
    </row>
    <row r="18" spans="1:15">
      <c r="A18" s="18" t="s">
        <v>197</v>
      </c>
      <c r="B18" s="19">
        <v>1810300916</v>
      </c>
      <c r="C18" s="18" t="s">
        <v>215</v>
      </c>
      <c r="D18" s="18" t="s">
        <v>199</v>
      </c>
      <c r="E18" s="7">
        <v>24</v>
      </c>
      <c r="F18" s="7">
        <v>56</v>
      </c>
      <c r="G18" s="7">
        <v>80</v>
      </c>
      <c r="H18" s="7">
        <f t="shared" si="0"/>
        <v>80</v>
      </c>
      <c r="I18" s="18" t="s">
        <v>215</v>
      </c>
    </row>
    <row r="19" spans="1:15">
      <c r="A19" s="18" t="s">
        <v>197</v>
      </c>
      <c r="B19" s="19">
        <v>1810300920</v>
      </c>
      <c r="C19" s="18" t="s">
        <v>216</v>
      </c>
      <c r="D19" s="18" t="s">
        <v>199</v>
      </c>
      <c r="E19" s="7">
        <v>29</v>
      </c>
      <c r="F19" s="7">
        <v>69</v>
      </c>
      <c r="G19" s="7">
        <v>98</v>
      </c>
      <c r="H19" s="7">
        <f t="shared" si="0"/>
        <v>98</v>
      </c>
      <c r="I19" s="18" t="s">
        <v>216</v>
      </c>
    </row>
    <row r="20" spans="1:15">
      <c r="A20" s="18" t="s">
        <v>197</v>
      </c>
      <c r="B20" s="19">
        <v>1810301019</v>
      </c>
      <c r="C20" s="18" t="s">
        <v>217</v>
      </c>
      <c r="D20" s="18" t="s">
        <v>199</v>
      </c>
      <c r="E20" s="7">
        <v>18</v>
      </c>
      <c r="F20" s="7">
        <v>42</v>
      </c>
      <c r="G20" s="7">
        <v>60</v>
      </c>
      <c r="H20" s="7">
        <f t="shared" si="0"/>
        <v>60</v>
      </c>
      <c r="I20" s="18" t="s">
        <v>217</v>
      </c>
    </row>
    <row r="21" spans="1:15">
      <c r="A21" s="18" t="s">
        <v>197</v>
      </c>
      <c r="B21" s="19">
        <v>1810301001</v>
      </c>
      <c r="C21" s="18" t="s">
        <v>218</v>
      </c>
      <c r="D21" s="18" t="s">
        <v>199</v>
      </c>
      <c r="E21" s="7">
        <v>24</v>
      </c>
      <c r="F21" s="7">
        <v>56</v>
      </c>
      <c r="G21" s="7">
        <v>80</v>
      </c>
      <c r="H21" s="7">
        <f t="shared" si="0"/>
        <v>80</v>
      </c>
      <c r="I21" s="18" t="s">
        <v>218</v>
      </c>
    </row>
    <row r="22" spans="1:15">
      <c r="A22" s="18" t="s">
        <v>197</v>
      </c>
      <c r="B22" s="19">
        <v>1810301002</v>
      </c>
      <c r="C22" s="18" t="s">
        <v>219</v>
      </c>
      <c r="D22" s="18" t="s">
        <v>199</v>
      </c>
      <c r="E22" s="7">
        <v>24</v>
      </c>
      <c r="F22" s="7">
        <v>56</v>
      </c>
      <c r="G22" s="7">
        <v>80</v>
      </c>
      <c r="H22" s="7">
        <f t="shared" si="0"/>
        <v>80</v>
      </c>
      <c r="I22" s="18" t="s">
        <v>219</v>
      </c>
    </row>
    <row r="23" spans="1:15">
      <c r="A23" s="18" t="s">
        <v>197</v>
      </c>
      <c r="B23" s="19">
        <v>1810301005</v>
      </c>
      <c r="C23" s="18" t="s">
        <v>220</v>
      </c>
      <c r="D23" s="18" t="s">
        <v>199</v>
      </c>
      <c r="E23" s="7">
        <v>21</v>
      </c>
      <c r="F23" s="7">
        <v>49</v>
      </c>
      <c r="G23" s="7">
        <v>70</v>
      </c>
      <c r="H23" s="7">
        <f t="shared" si="0"/>
        <v>70</v>
      </c>
      <c r="I23" s="18" t="s">
        <v>220</v>
      </c>
    </row>
    <row r="24" spans="1:15">
      <c r="A24" s="18" t="s">
        <v>197</v>
      </c>
      <c r="B24" s="19">
        <v>1810301015</v>
      </c>
      <c r="C24" s="18" t="s">
        <v>221</v>
      </c>
      <c r="D24" s="18" t="s">
        <v>199</v>
      </c>
      <c r="E24" s="7">
        <v>24</v>
      </c>
      <c r="F24" s="7">
        <v>56</v>
      </c>
      <c r="G24" s="7">
        <v>80</v>
      </c>
      <c r="H24" s="7">
        <f t="shared" si="0"/>
        <v>80</v>
      </c>
      <c r="I24" s="18" t="s">
        <v>221</v>
      </c>
    </row>
    <row r="25" spans="1:15">
      <c r="A25" s="18" t="s">
        <v>197</v>
      </c>
      <c r="B25" s="19">
        <v>1810301020</v>
      </c>
      <c r="C25" s="18" t="s">
        <v>222</v>
      </c>
      <c r="D25" s="18" t="s">
        <v>199</v>
      </c>
      <c r="E25" s="7">
        <v>18</v>
      </c>
      <c r="F25" s="7">
        <v>42</v>
      </c>
      <c r="G25" s="7">
        <v>60</v>
      </c>
      <c r="H25" s="7">
        <f t="shared" si="0"/>
        <v>60</v>
      </c>
      <c r="I25" s="18" t="s">
        <v>222</v>
      </c>
      <c r="O25" t="s">
        <v>317</v>
      </c>
    </row>
    <row r="26" spans="1:15">
      <c r="A26" s="18" t="s">
        <v>197</v>
      </c>
      <c r="B26" s="19">
        <v>1810301128</v>
      </c>
      <c r="C26" s="18" t="s">
        <v>223</v>
      </c>
      <c r="D26" s="18" t="s">
        <v>209</v>
      </c>
      <c r="E26" s="7">
        <v>29</v>
      </c>
      <c r="F26" s="7">
        <v>69</v>
      </c>
      <c r="G26" s="7">
        <v>98</v>
      </c>
      <c r="H26" s="7">
        <f t="shared" si="0"/>
        <v>98</v>
      </c>
      <c r="I26" s="18" t="s">
        <v>223</v>
      </c>
    </row>
    <row r="27" spans="1:15">
      <c r="A27" s="18" t="s">
        <v>197</v>
      </c>
      <c r="B27" s="19">
        <v>1810301107</v>
      </c>
      <c r="C27" s="18" t="s">
        <v>224</v>
      </c>
      <c r="D27" s="18" t="s">
        <v>199</v>
      </c>
      <c r="E27" s="7">
        <v>18</v>
      </c>
      <c r="F27" s="7">
        <v>42</v>
      </c>
      <c r="G27" s="7">
        <v>60</v>
      </c>
      <c r="H27" s="7">
        <f t="shared" si="0"/>
        <v>60</v>
      </c>
      <c r="I27" s="18" t="s">
        <v>224</v>
      </c>
    </row>
    <row r="28" spans="1:15">
      <c r="A28" s="18" t="s">
        <v>197</v>
      </c>
      <c r="B28" s="19">
        <v>1810301110</v>
      </c>
      <c r="C28" s="18" t="s">
        <v>225</v>
      </c>
      <c r="D28" s="18" t="s">
        <v>199</v>
      </c>
      <c r="E28" s="7">
        <v>18</v>
      </c>
      <c r="F28" s="7">
        <v>42</v>
      </c>
      <c r="G28" s="7">
        <v>60</v>
      </c>
      <c r="H28" s="7">
        <f t="shared" si="0"/>
        <v>60</v>
      </c>
      <c r="I28" s="18" t="s">
        <v>225</v>
      </c>
    </row>
    <row r="29" spans="1:15">
      <c r="A29" s="18" t="s">
        <v>197</v>
      </c>
      <c r="B29" s="19">
        <v>1810301117</v>
      </c>
      <c r="C29" s="18" t="s">
        <v>226</v>
      </c>
      <c r="D29" s="18" t="s">
        <v>199</v>
      </c>
      <c r="E29" s="7">
        <v>18</v>
      </c>
      <c r="F29" s="7">
        <v>42</v>
      </c>
      <c r="G29" s="7">
        <v>60</v>
      </c>
      <c r="H29" s="7">
        <f t="shared" si="0"/>
        <v>60</v>
      </c>
      <c r="I29" s="18" t="s">
        <v>226</v>
      </c>
    </row>
    <row r="30" spans="1:15">
      <c r="A30" s="18" t="s">
        <v>197</v>
      </c>
      <c r="B30" s="19">
        <v>1810301202</v>
      </c>
      <c r="C30" s="18" t="s">
        <v>227</v>
      </c>
      <c r="D30" s="18" t="s">
        <v>199</v>
      </c>
      <c r="E30" s="7">
        <v>29</v>
      </c>
      <c r="F30" s="7">
        <v>69</v>
      </c>
      <c r="G30" s="7">
        <v>98</v>
      </c>
      <c r="H30" s="7">
        <f t="shared" si="0"/>
        <v>98</v>
      </c>
      <c r="I30" s="18" t="s">
        <v>227</v>
      </c>
    </row>
    <row r="31" spans="1:15">
      <c r="A31" s="18" t="s">
        <v>197</v>
      </c>
      <c r="B31" s="19">
        <v>1810301205</v>
      </c>
      <c r="C31" s="18" t="s">
        <v>228</v>
      </c>
      <c r="D31" s="18" t="s">
        <v>199</v>
      </c>
      <c r="E31" s="7">
        <v>18</v>
      </c>
      <c r="F31" s="7">
        <v>42</v>
      </c>
      <c r="G31" s="7">
        <v>60</v>
      </c>
      <c r="H31" s="7">
        <f t="shared" si="0"/>
        <v>60</v>
      </c>
      <c r="I31" s="18" t="s">
        <v>228</v>
      </c>
    </row>
    <row r="32" spans="1:15">
      <c r="A32" s="18" t="s">
        <v>197</v>
      </c>
      <c r="B32" s="19">
        <v>1710651207</v>
      </c>
      <c r="C32" s="18" t="s">
        <v>229</v>
      </c>
      <c r="D32" s="18" t="s">
        <v>199</v>
      </c>
      <c r="E32" s="7">
        <v>18</v>
      </c>
      <c r="F32" s="7">
        <v>42</v>
      </c>
      <c r="G32" s="7">
        <v>60</v>
      </c>
      <c r="H32" s="7">
        <f t="shared" si="0"/>
        <v>60</v>
      </c>
      <c r="I32" s="18" t="s">
        <v>229</v>
      </c>
    </row>
    <row r="33" spans="7:7" ht="13.5">
      <c r="G33"/>
    </row>
    <row r="34" spans="7:7" ht="13.5">
      <c r="G34"/>
    </row>
    <row r="35" spans="7:7" ht="13.5">
      <c r="G35"/>
    </row>
    <row r="36" spans="7:7" ht="13.5">
      <c r="G36"/>
    </row>
    <row r="37" spans="7:7" ht="13.5">
      <c r="G37"/>
    </row>
    <row r="38" spans="7:7" ht="13.5">
      <c r="G38"/>
    </row>
    <row r="39" spans="7:7" ht="13.5">
      <c r="G39"/>
    </row>
    <row r="40" spans="7:7" ht="13.5">
      <c r="G40"/>
    </row>
    <row r="41" spans="7:7" ht="13.5">
      <c r="G41"/>
    </row>
    <row r="42" spans="7:7" ht="13.5">
      <c r="G42"/>
    </row>
    <row r="43" spans="7:7" ht="13.5">
      <c r="G43"/>
    </row>
    <row r="44" spans="7:7" ht="13.5">
      <c r="G44"/>
    </row>
    <row r="45" spans="7:7" ht="13.5">
      <c r="G45"/>
    </row>
    <row r="46" spans="7:7" ht="13.5">
      <c r="G46"/>
    </row>
    <row r="47" spans="7:7" ht="13.5">
      <c r="G47"/>
    </row>
    <row r="48" spans="7:7" ht="13.5">
      <c r="G48"/>
    </row>
    <row r="49" spans="7:7" ht="13.5">
      <c r="G49"/>
    </row>
    <row r="50" spans="7:7" ht="13.5">
      <c r="G50"/>
    </row>
    <row r="51" spans="7:7" ht="13.5">
      <c r="G51"/>
    </row>
    <row r="52" spans="7:7" ht="13.5">
      <c r="G52"/>
    </row>
    <row r="53" spans="7:7" ht="13.5">
      <c r="G53"/>
    </row>
    <row r="54" spans="7:7" ht="13.5">
      <c r="G54"/>
    </row>
    <row r="55" spans="7:7" ht="13.5">
      <c r="G55"/>
    </row>
    <row r="56" spans="7:7" ht="13.5">
      <c r="G56"/>
    </row>
    <row r="57" spans="7:7" ht="13.5">
      <c r="G57"/>
    </row>
    <row r="58" spans="7:7" ht="13.5">
      <c r="G58"/>
    </row>
    <row r="59" spans="7:7" ht="13.5">
      <c r="G59"/>
    </row>
    <row r="60" spans="7:7" ht="13.5">
      <c r="G60"/>
    </row>
  </sheetData>
  <phoneticPr fontId="18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4"/>
  <sheetViews>
    <sheetView workbookViewId="0">
      <selection activeCell="N15" sqref="N15"/>
    </sheetView>
  </sheetViews>
  <sheetFormatPr defaultColWidth="9" defaultRowHeight="13.5"/>
  <cols>
    <col min="1" max="1" width="10.625" customWidth="1"/>
    <col min="2" max="2" width="14.625" customWidth="1"/>
    <col min="3" max="4" width="9.75" customWidth="1"/>
    <col min="5" max="7" width="11.625" customWidth="1"/>
    <col min="8" max="8" width="11"/>
  </cols>
  <sheetData>
    <row r="1" spans="1:10" ht="18" customHeight="1">
      <c r="A1" s="5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6" t="s">
        <v>293</v>
      </c>
      <c r="H1" s="6"/>
      <c r="I1" s="6" t="s">
        <v>11</v>
      </c>
    </row>
    <row r="2" spans="1:10" ht="18" customHeight="1">
      <c r="A2" s="14" t="s">
        <v>318</v>
      </c>
      <c r="B2" s="14">
        <v>1810300103</v>
      </c>
      <c r="C2" s="14" t="s">
        <v>233</v>
      </c>
      <c r="D2" s="14" t="s">
        <v>50</v>
      </c>
      <c r="E2" s="7">
        <v>18</v>
      </c>
      <c r="F2" s="7">
        <v>42</v>
      </c>
      <c r="G2" s="7">
        <v>60</v>
      </c>
      <c r="H2" s="7">
        <f>E2+F2</f>
        <v>60</v>
      </c>
      <c r="I2" s="14" t="s">
        <v>233</v>
      </c>
      <c r="J2">
        <v>1</v>
      </c>
    </row>
    <row r="3" spans="1:10" ht="18" customHeight="1">
      <c r="A3" s="14" t="s">
        <v>318</v>
      </c>
      <c r="B3" s="14" t="s">
        <v>234</v>
      </c>
      <c r="C3" s="14" t="s">
        <v>235</v>
      </c>
      <c r="D3" s="14" t="s">
        <v>50</v>
      </c>
      <c r="E3" s="7">
        <v>18</v>
      </c>
      <c r="F3" s="7">
        <v>42</v>
      </c>
      <c r="G3" s="7">
        <v>60</v>
      </c>
      <c r="H3" s="7">
        <f t="shared" ref="H3:H31" si="0">E3+F3</f>
        <v>60</v>
      </c>
      <c r="I3" s="14" t="s">
        <v>235</v>
      </c>
      <c r="J3">
        <v>2</v>
      </c>
    </row>
    <row r="4" spans="1:10" ht="18" customHeight="1">
      <c r="A4" s="14" t="s">
        <v>318</v>
      </c>
      <c r="B4" s="14" t="s">
        <v>236</v>
      </c>
      <c r="C4" s="14" t="s">
        <v>237</v>
      </c>
      <c r="D4" s="14" t="s">
        <v>50</v>
      </c>
      <c r="E4" s="7">
        <v>24</v>
      </c>
      <c r="F4" s="7">
        <v>58</v>
      </c>
      <c r="G4" s="7">
        <v>82</v>
      </c>
      <c r="H4" s="7">
        <f t="shared" si="0"/>
        <v>82</v>
      </c>
      <c r="I4" s="14" t="s">
        <v>237</v>
      </c>
      <c r="J4">
        <v>3</v>
      </c>
    </row>
    <row r="5" spans="1:10" ht="18" customHeight="1">
      <c r="A5" s="14" t="s">
        <v>318</v>
      </c>
      <c r="B5" s="14" t="s">
        <v>238</v>
      </c>
      <c r="C5" s="14" t="s">
        <v>239</v>
      </c>
      <c r="D5" s="14" t="s">
        <v>50</v>
      </c>
      <c r="E5" s="7">
        <v>18</v>
      </c>
      <c r="F5" s="7">
        <v>42</v>
      </c>
      <c r="G5" s="7">
        <v>60</v>
      </c>
      <c r="H5" s="7">
        <f t="shared" si="0"/>
        <v>60</v>
      </c>
      <c r="I5" s="14" t="s">
        <v>239</v>
      </c>
      <c r="J5">
        <v>4</v>
      </c>
    </row>
    <row r="6" spans="1:10" ht="18" customHeight="1">
      <c r="A6" s="14" t="s">
        <v>318</v>
      </c>
      <c r="B6" s="14" t="s">
        <v>240</v>
      </c>
      <c r="C6" s="14" t="s">
        <v>241</v>
      </c>
      <c r="D6" s="14" t="s">
        <v>52</v>
      </c>
      <c r="E6" s="7">
        <v>27</v>
      </c>
      <c r="F6" s="7">
        <v>63</v>
      </c>
      <c r="G6" s="7">
        <v>90</v>
      </c>
      <c r="H6" s="7">
        <f t="shared" si="0"/>
        <v>90</v>
      </c>
      <c r="I6" s="14" t="s">
        <v>241</v>
      </c>
      <c r="J6">
        <v>5</v>
      </c>
    </row>
    <row r="7" spans="1:10" ht="18" customHeight="1">
      <c r="A7" s="14" t="s">
        <v>318</v>
      </c>
      <c r="B7" s="14" t="s">
        <v>242</v>
      </c>
      <c r="C7" s="14" t="s">
        <v>243</v>
      </c>
      <c r="D7" s="14" t="s">
        <v>50</v>
      </c>
      <c r="E7" s="7">
        <v>24</v>
      </c>
      <c r="F7" s="7">
        <v>58</v>
      </c>
      <c r="G7" s="7">
        <v>82</v>
      </c>
      <c r="H7" s="7">
        <f t="shared" si="0"/>
        <v>82</v>
      </c>
      <c r="I7" s="14" t="s">
        <v>243</v>
      </c>
      <c r="J7">
        <v>6</v>
      </c>
    </row>
    <row r="8" spans="1:10" ht="18" customHeight="1">
      <c r="A8" s="14" t="s">
        <v>318</v>
      </c>
      <c r="B8" s="14" t="s">
        <v>244</v>
      </c>
      <c r="C8" s="14" t="s">
        <v>245</v>
      </c>
      <c r="D8" s="14" t="s">
        <v>52</v>
      </c>
      <c r="E8" s="7">
        <v>27</v>
      </c>
      <c r="F8" s="7">
        <v>63</v>
      </c>
      <c r="G8" s="7">
        <v>90</v>
      </c>
      <c r="H8" s="7">
        <f t="shared" si="0"/>
        <v>90</v>
      </c>
      <c r="I8" s="14" t="s">
        <v>245</v>
      </c>
      <c r="J8">
        <v>7</v>
      </c>
    </row>
    <row r="9" spans="1:10" ht="18" customHeight="1">
      <c r="A9" s="14" t="s">
        <v>318</v>
      </c>
      <c r="B9" s="14" t="s">
        <v>246</v>
      </c>
      <c r="C9" s="14" t="s">
        <v>247</v>
      </c>
      <c r="D9" s="14" t="s">
        <v>50</v>
      </c>
      <c r="E9" s="7">
        <v>21</v>
      </c>
      <c r="F9" s="7">
        <v>49</v>
      </c>
      <c r="G9" s="7">
        <v>70</v>
      </c>
      <c r="H9" s="7">
        <f t="shared" si="0"/>
        <v>70</v>
      </c>
      <c r="I9" s="14" t="s">
        <v>247</v>
      </c>
      <c r="J9">
        <v>8</v>
      </c>
    </row>
    <row r="10" spans="1:10" ht="18" customHeight="1">
      <c r="A10" s="14" t="s">
        <v>318</v>
      </c>
      <c r="B10" s="14" t="s">
        <v>248</v>
      </c>
      <c r="C10" s="14" t="s">
        <v>249</v>
      </c>
      <c r="D10" s="14" t="s">
        <v>50</v>
      </c>
      <c r="E10" s="7">
        <v>21</v>
      </c>
      <c r="F10" s="7">
        <v>49</v>
      </c>
      <c r="G10" s="7">
        <v>70</v>
      </c>
      <c r="H10" s="7">
        <f t="shared" si="0"/>
        <v>70</v>
      </c>
      <c r="I10" s="14" t="s">
        <v>249</v>
      </c>
      <c r="J10">
        <v>9</v>
      </c>
    </row>
    <row r="11" spans="1:10" ht="18" customHeight="1">
      <c r="A11" s="14" t="s">
        <v>318</v>
      </c>
      <c r="B11" s="14" t="s">
        <v>250</v>
      </c>
      <c r="C11" s="14" t="s">
        <v>251</v>
      </c>
      <c r="D11" s="14" t="s">
        <v>50</v>
      </c>
      <c r="E11" s="7">
        <v>21</v>
      </c>
      <c r="F11" s="7">
        <v>49</v>
      </c>
      <c r="G11" s="7">
        <v>70</v>
      </c>
      <c r="H11" s="7">
        <f t="shared" si="0"/>
        <v>70</v>
      </c>
      <c r="I11" s="14" t="s">
        <v>251</v>
      </c>
      <c r="J11">
        <v>10</v>
      </c>
    </row>
    <row r="12" spans="1:10" ht="18" customHeight="1">
      <c r="A12" s="14" t="s">
        <v>318</v>
      </c>
      <c r="B12" s="7" t="s">
        <v>319</v>
      </c>
      <c r="C12" s="7" t="s">
        <v>320</v>
      </c>
      <c r="D12" s="7" t="s">
        <v>50</v>
      </c>
      <c r="E12" s="7"/>
      <c r="F12" s="7"/>
      <c r="G12" s="7" t="s">
        <v>295</v>
      </c>
      <c r="H12" s="7">
        <f t="shared" si="0"/>
        <v>0</v>
      </c>
      <c r="I12" s="7" t="s">
        <v>320</v>
      </c>
      <c r="J12">
        <v>11</v>
      </c>
    </row>
    <row r="13" spans="1:10" ht="18" customHeight="1">
      <c r="A13" s="14" t="s">
        <v>318</v>
      </c>
      <c r="B13" s="7" t="s">
        <v>252</v>
      </c>
      <c r="C13" s="7" t="s">
        <v>253</v>
      </c>
      <c r="D13" s="7" t="s">
        <v>50</v>
      </c>
      <c r="E13" s="7">
        <v>18</v>
      </c>
      <c r="F13" s="7">
        <v>42</v>
      </c>
      <c r="G13" s="7">
        <v>60</v>
      </c>
      <c r="H13" s="7">
        <f t="shared" si="0"/>
        <v>60</v>
      </c>
      <c r="I13" s="7" t="s">
        <v>253</v>
      </c>
      <c r="J13">
        <v>12</v>
      </c>
    </row>
    <row r="14" spans="1:10" ht="18" customHeight="1">
      <c r="A14" s="14" t="s">
        <v>318</v>
      </c>
      <c r="B14" s="7" t="s">
        <v>254</v>
      </c>
      <c r="C14" s="7" t="s">
        <v>255</v>
      </c>
      <c r="D14" s="7" t="s">
        <v>50</v>
      </c>
      <c r="E14" s="7">
        <v>18</v>
      </c>
      <c r="F14" s="7">
        <v>42</v>
      </c>
      <c r="G14" s="7">
        <v>60</v>
      </c>
      <c r="H14" s="7">
        <f t="shared" si="0"/>
        <v>60</v>
      </c>
      <c r="I14" s="7" t="s">
        <v>255</v>
      </c>
      <c r="J14">
        <v>13</v>
      </c>
    </row>
    <row r="15" spans="1:10" ht="18" customHeight="1">
      <c r="A15" s="14" t="s">
        <v>318</v>
      </c>
      <c r="B15" s="14" t="s">
        <v>256</v>
      </c>
      <c r="C15" s="14" t="s">
        <v>257</v>
      </c>
      <c r="D15" s="14" t="s">
        <v>50</v>
      </c>
      <c r="E15" s="7">
        <v>27</v>
      </c>
      <c r="F15" s="7">
        <v>63</v>
      </c>
      <c r="G15" s="7">
        <v>90</v>
      </c>
      <c r="H15" s="7">
        <f t="shared" si="0"/>
        <v>90</v>
      </c>
      <c r="I15" s="14" t="s">
        <v>257</v>
      </c>
      <c r="J15">
        <v>14</v>
      </c>
    </row>
    <row r="16" spans="1:10" ht="18" customHeight="1">
      <c r="A16" s="14" t="s">
        <v>318</v>
      </c>
      <c r="B16" s="14" t="s">
        <v>258</v>
      </c>
      <c r="C16" s="14" t="s">
        <v>259</v>
      </c>
      <c r="D16" s="14" t="s">
        <v>50</v>
      </c>
      <c r="E16" s="7">
        <v>21</v>
      </c>
      <c r="F16" s="7">
        <v>49</v>
      </c>
      <c r="G16" s="7">
        <v>70</v>
      </c>
      <c r="H16" s="7">
        <f t="shared" si="0"/>
        <v>70</v>
      </c>
      <c r="I16" s="14" t="s">
        <v>259</v>
      </c>
      <c r="J16">
        <v>15</v>
      </c>
    </row>
    <row r="17" spans="1:10" ht="18" customHeight="1">
      <c r="A17" s="14" t="s">
        <v>318</v>
      </c>
      <c r="B17" s="14" t="s">
        <v>260</v>
      </c>
      <c r="C17" s="14" t="s">
        <v>261</v>
      </c>
      <c r="D17" s="14" t="s">
        <v>50</v>
      </c>
      <c r="E17" s="7">
        <v>21</v>
      </c>
      <c r="F17" s="7">
        <v>49</v>
      </c>
      <c r="G17" s="7">
        <v>70</v>
      </c>
      <c r="H17" s="7">
        <f t="shared" si="0"/>
        <v>70</v>
      </c>
      <c r="I17" s="14" t="s">
        <v>261</v>
      </c>
      <c r="J17">
        <v>16</v>
      </c>
    </row>
    <row r="18" spans="1:10" ht="18" customHeight="1">
      <c r="A18" s="14" t="s">
        <v>318</v>
      </c>
      <c r="B18" s="14" t="s">
        <v>262</v>
      </c>
      <c r="C18" s="14" t="s">
        <v>263</v>
      </c>
      <c r="D18" s="14" t="s">
        <v>50</v>
      </c>
      <c r="E18" s="7">
        <v>21</v>
      </c>
      <c r="F18" s="7">
        <v>49</v>
      </c>
      <c r="G18" s="7">
        <v>70</v>
      </c>
      <c r="H18" s="7">
        <f t="shared" si="0"/>
        <v>70</v>
      </c>
      <c r="I18" s="14" t="s">
        <v>263</v>
      </c>
      <c r="J18">
        <v>17</v>
      </c>
    </row>
    <row r="19" spans="1:10" ht="18" customHeight="1">
      <c r="A19" s="14" t="s">
        <v>318</v>
      </c>
      <c r="B19" s="14" t="s">
        <v>264</v>
      </c>
      <c r="C19" s="14" t="s">
        <v>265</v>
      </c>
      <c r="D19" s="14" t="s">
        <v>50</v>
      </c>
      <c r="E19" s="7">
        <v>21</v>
      </c>
      <c r="F19" s="7">
        <v>49</v>
      </c>
      <c r="G19" s="7">
        <v>70</v>
      </c>
      <c r="H19" s="7">
        <f t="shared" si="0"/>
        <v>70</v>
      </c>
      <c r="I19" s="14" t="s">
        <v>265</v>
      </c>
      <c r="J19">
        <v>18</v>
      </c>
    </row>
    <row r="20" spans="1:10" ht="18" customHeight="1">
      <c r="A20" s="14" t="s">
        <v>318</v>
      </c>
      <c r="B20" s="14" t="s">
        <v>266</v>
      </c>
      <c r="C20" s="14" t="s">
        <v>267</v>
      </c>
      <c r="D20" s="14" t="s">
        <v>52</v>
      </c>
      <c r="E20" s="7">
        <v>27</v>
      </c>
      <c r="F20" s="7">
        <v>63</v>
      </c>
      <c r="G20" s="7">
        <v>90</v>
      </c>
      <c r="H20" s="7">
        <f t="shared" si="0"/>
        <v>90</v>
      </c>
      <c r="I20" s="14" t="s">
        <v>267</v>
      </c>
      <c r="J20">
        <v>19</v>
      </c>
    </row>
    <row r="21" spans="1:10" ht="18" customHeight="1">
      <c r="A21" s="14" t="s">
        <v>318</v>
      </c>
      <c r="B21" s="14" t="s">
        <v>268</v>
      </c>
      <c r="C21" s="14" t="s">
        <v>269</v>
      </c>
      <c r="D21" s="14" t="s">
        <v>50</v>
      </c>
      <c r="E21" s="7">
        <v>24</v>
      </c>
      <c r="F21" s="7">
        <v>58</v>
      </c>
      <c r="G21" s="7">
        <v>82</v>
      </c>
      <c r="H21" s="7">
        <f t="shared" si="0"/>
        <v>82</v>
      </c>
      <c r="I21" s="14" t="s">
        <v>269</v>
      </c>
      <c r="J21">
        <v>20</v>
      </c>
    </row>
    <row r="22" spans="1:10" ht="18" customHeight="1">
      <c r="A22" s="14" t="s">
        <v>318</v>
      </c>
      <c r="B22" s="14" t="s">
        <v>270</v>
      </c>
      <c r="C22" s="14" t="s">
        <v>271</v>
      </c>
      <c r="D22" s="14" t="s">
        <v>50</v>
      </c>
      <c r="E22" s="7">
        <v>24</v>
      </c>
      <c r="F22" s="7">
        <v>56</v>
      </c>
      <c r="G22" s="7">
        <v>80</v>
      </c>
      <c r="H22" s="7">
        <f t="shared" si="0"/>
        <v>80</v>
      </c>
      <c r="I22" s="14" t="s">
        <v>271</v>
      </c>
      <c r="J22">
        <v>21</v>
      </c>
    </row>
    <row r="23" spans="1:10" ht="18" customHeight="1">
      <c r="A23" s="14" t="s">
        <v>318</v>
      </c>
      <c r="B23" s="14" t="s">
        <v>272</v>
      </c>
      <c r="C23" s="14" t="s">
        <v>273</v>
      </c>
      <c r="D23" s="14" t="s">
        <v>50</v>
      </c>
      <c r="E23" s="7">
        <v>24</v>
      </c>
      <c r="F23" s="7">
        <v>56</v>
      </c>
      <c r="G23" s="7">
        <v>80</v>
      </c>
      <c r="H23" s="7">
        <f t="shared" si="0"/>
        <v>80</v>
      </c>
      <c r="I23" s="14" t="s">
        <v>273</v>
      </c>
      <c r="J23">
        <v>22</v>
      </c>
    </row>
    <row r="24" spans="1:10" ht="18" customHeight="1">
      <c r="A24" s="14" t="s">
        <v>318</v>
      </c>
      <c r="B24" s="14" t="s">
        <v>274</v>
      </c>
      <c r="C24" s="14" t="s">
        <v>275</v>
      </c>
      <c r="D24" s="14" t="s">
        <v>52</v>
      </c>
      <c r="E24" s="7">
        <v>24</v>
      </c>
      <c r="F24" s="7">
        <v>56</v>
      </c>
      <c r="G24" s="7">
        <v>80</v>
      </c>
      <c r="H24" s="7">
        <f t="shared" si="0"/>
        <v>80</v>
      </c>
      <c r="I24" s="14" t="s">
        <v>275</v>
      </c>
      <c r="J24">
        <v>23</v>
      </c>
    </row>
    <row r="25" spans="1:10" ht="18" customHeight="1">
      <c r="A25" s="14" t="s">
        <v>318</v>
      </c>
      <c r="B25" s="14" t="s">
        <v>276</v>
      </c>
      <c r="C25" s="14" t="s">
        <v>277</v>
      </c>
      <c r="D25" s="14" t="s">
        <v>50</v>
      </c>
      <c r="E25" s="7">
        <v>18</v>
      </c>
      <c r="F25" s="7">
        <v>42</v>
      </c>
      <c r="G25" s="7">
        <v>60</v>
      </c>
      <c r="H25" s="7">
        <f t="shared" si="0"/>
        <v>60</v>
      </c>
      <c r="I25" s="14" t="s">
        <v>277</v>
      </c>
      <c r="J25">
        <v>24</v>
      </c>
    </row>
    <row r="26" spans="1:10" ht="18" customHeight="1">
      <c r="A26" s="14" t="s">
        <v>318</v>
      </c>
      <c r="B26" s="14" t="s">
        <v>278</v>
      </c>
      <c r="C26" s="14" t="s">
        <v>279</v>
      </c>
      <c r="D26" s="14" t="s">
        <v>50</v>
      </c>
      <c r="E26" s="7">
        <v>29</v>
      </c>
      <c r="F26" s="7">
        <v>69</v>
      </c>
      <c r="G26" s="7">
        <v>98</v>
      </c>
      <c r="H26" s="7">
        <f t="shared" si="0"/>
        <v>98</v>
      </c>
      <c r="I26" s="14" t="s">
        <v>279</v>
      </c>
      <c r="J26">
        <v>25</v>
      </c>
    </row>
    <row r="27" spans="1:10" ht="18" customHeight="1">
      <c r="A27" s="14" t="s">
        <v>318</v>
      </c>
      <c r="B27" s="14" t="s">
        <v>280</v>
      </c>
      <c r="C27" s="14" t="s">
        <v>281</v>
      </c>
      <c r="D27" s="14" t="s">
        <v>50</v>
      </c>
      <c r="E27" s="7">
        <v>27</v>
      </c>
      <c r="F27" s="7">
        <v>63</v>
      </c>
      <c r="G27" s="7">
        <v>90</v>
      </c>
      <c r="H27" s="7">
        <f t="shared" si="0"/>
        <v>90</v>
      </c>
      <c r="I27" s="14" t="s">
        <v>281</v>
      </c>
      <c r="J27">
        <v>26</v>
      </c>
    </row>
    <row r="28" spans="1:10" ht="18" customHeight="1">
      <c r="A28" s="14" t="s">
        <v>318</v>
      </c>
      <c r="B28" s="14" t="s">
        <v>282</v>
      </c>
      <c r="C28" s="14" t="s">
        <v>283</v>
      </c>
      <c r="D28" s="14" t="s">
        <v>50</v>
      </c>
      <c r="E28" s="7">
        <v>24</v>
      </c>
      <c r="F28" s="7">
        <v>58</v>
      </c>
      <c r="G28" s="7">
        <v>82</v>
      </c>
      <c r="H28" s="7">
        <f t="shared" si="0"/>
        <v>82</v>
      </c>
      <c r="I28" s="14" t="s">
        <v>283</v>
      </c>
      <c r="J28">
        <v>27</v>
      </c>
    </row>
    <row r="29" spans="1:10" ht="18" customHeight="1">
      <c r="A29" s="14" t="s">
        <v>318</v>
      </c>
      <c r="B29" s="7" t="s">
        <v>284</v>
      </c>
      <c r="C29" s="7" t="s">
        <v>285</v>
      </c>
      <c r="D29" s="7" t="s">
        <v>50</v>
      </c>
      <c r="E29" s="7">
        <v>21</v>
      </c>
      <c r="F29" s="7">
        <v>49</v>
      </c>
      <c r="G29" s="7">
        <v>70</v>
      </c>
      <c r="H29" s="7">
        <f t="shared" si="0"/>
        <v>70</v>
      </c>
      <c r="I29" s="7" t="s">
        <v>285</v>
      </c>
      <c r="J29">
        <v>28</v>
      </c>
    </row>
    <row r="30" spans="1:10" ht="18" customHeight="1">
      <c r="A30" s="14" t="s">
        <v>318</v>
      </c>
      <c r="B30" s="7" t="s">
        <v>286</v>
      </c>
      <c r="C30" s="7" t="s">
        <v>287</v>
      </c>
      <c r="D30" s="7" t="s">
        <v>50</v>
      </c>
      <c r="E30" s="7">
        <v>21</v>
      </c>
      <c r="F30" s="7">
        <v>49</v>
      </c>
      <c r="G30" s="7">
        <v>70</v>
      </c>
      <c r="H30" s="7">
        <f t="shared" si="0"/>
        <v>70</v>
      </c>
      <c r="I30" s="7" t="s">
        <v>287</v>
      </c>
      <c r="J30">
        <v>29</v>
      </c>
    </row>
    <row r="31" spans="1:10" ht="18" customHeight="1">
      <c r="A31" s="14" t="s">
        <v>318</v>
      </c>
      <c r="B31" s="7" t="s">
        <v>288</v>
      </c>
      <c r="C31" s="7" t="s">
        <v>289</v>
      </c>
      <c r="D31" s="7" t="s">
        <v>52</v>
      </c>
      <c r="E31" s="7">
        <v>27</v>
      </c>
      <c r="F31" s="7">
        <v>63</v>
      </c>
      <c r="G31" s="7">
        <v>90</v>
      </c>
      <c r="H31" s="7">
        <f t="shared" si="0"/>
        <v>90</v>
      </c>
      <c r="I31" s="7" t="s">
        <v>289</v>
      </c>
      <c r="J31">
        <v>30</v>
      </c>
    </row>
    <row r="32" spans="1:10" ht="14.1" customHeight="1">
      <c r="A32" s="1"/>
      <c r="B32" s="1"/>
      <c r="C32" s="1"/>
      <c r="J32">
        <v>31</v>
      </c>
    </row>
    <row r="33" spans="1:9" ht="14.1" customHeight="1"/>
    <row r="34" spans="1:9" ht="14.25">
      <c r="A34" s="1"/>
      <c r="B34" s="1"/>
      <c r="C34" s="1"/>
      <c r="D34" s="1"/>
      <c r="I34" s="1"/>
    </row>
  </sheetData>
  <phoneticPr fontId="18" type="noConversion"/>
  <conditionalFormatting sqref="C2:C11 C15:C28">
    <cfRule type="duplicateValues" dxfId="4" priority="2"/>
  </conditionalFormatting>
  <conditionalFormatting sqref="I2:I11 I15:I28">
    <cfRule type="duplicateValues" dxfId="3" priority="1"/>
  </conditionalFormatting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50"/>
  <sheetViews>
    <sheetView workbookViewId="0">
      <selection activeCell="N31" sqref="N31"/>
    </sheetView>
  </sheetViews>
  <sheetFormatPr defaultColWidth="9" defaultRowHeight="13.5"/>
  <cols>
    <col min="1" max="2" width="11.5"/>
  </cols>
  <sheetData>
    <row r="1" spans="1:10" ht="18" customHeight="1">
      <c r="A1" s="5" t="s">
        <v>9</v>
      </c>
      <c r="B1" s="6" t="s">
        <v>10</v>
      </c>
      <c r="C1" s="6" t="s">
        <v>11</v>
      </c>
      <c r="D1" s="6" t="s">
        <v>12</v>
      </c>
      <c r="E1" s="6" t="s">
        <v>291</v>
      </c>
      <c r="F1" s="6" t="s">
        <v>292</v>
      </c>
      <c r="G1" s="25" t="s">
        <v>293</v>
      </c>
      <c r="H1" s="6"/>
      <c r="I1" s="6" t="s">
        <v>11</v>
      </c>
      <c r="J1" s="6"/>
    </row>
    <row r="2" spans="1:10" ht="18" customHeight="1">
      <c r="A2" s="7" t="s">
        <v>48</v>
      </c>
      <c r="B2" s="7">
        <v>1810300114</v>
      </c>
      <c r="C2" s="7" t="s">
        <v>49</v>
      </c>
      <c r="D2" s="7" t="s">
        <v>50</v>
      </c>
      <c r="E2" s="7">
        <v>26</v>
      </c>
      <c r="F2" s="7">
        <v>57</v>
      </c>
      <c r="G2" s="26">
        <v>83</v>
      </c>
      <c r="H2" s="7">
        <f t="shared" ref="H2:H28" si="0">E2+F2</f>
        <v>83</v>
      </c>
      <c r="I2" s="7" t="s">
        <v>49</v>
      </c>
      <c r="J2" s="11"/>
    </row>
    <row r="3" spans="1:10" ht="18" customHeight="1">
      <c r="A3" s="7" t="s">
        <v>48</v>
      </c>
      <c r="B3" s="7">
        <v>1810300126</v>
      </c>
      <c r="C3" s="7" t="s">
        <v>51</v>
      </c>
      <c r="D3" s="7" t="s">
        <v>52</v>
      </c>
      <c r="E3" s="7">
        <v>29</v>
      </c>
      <c r="F3" s="7">
        <v>69</v>
      </c>
      <c r="G3" s="26">
        <v>98</v>
      </c>
      <c r="H3" s="7">
        <f t="shared" si="0"/>
        <v>98</v>
      </c>
      <c r="I3" s="7" t="s">
        <v>51</v>
      </c>
      <c r="J3" s="11"/>
    </row>
    <row r="4" spans="1:10" ht="18" customHeight="1">
      <c r="A4" s="27" t="s">
        <v>48</v>
      </c>
      <c r="B4" s="27">
        <v>1810300204</v>
      </c>
      <c r="C4" s="27" t="s">
        <v>53</v>
      </c>
      <c r="D4" s="27" t="s">
        <v>50</v>
      </c>
      <c r="E4" s="27"/>
      <c r="F4" s="27"/>
      <c r="G4" s="27"/>
      <c r="H4" s="27">
        <f t="shared" si="0"/>
        <v>0</v>
      </c>
      <c r="I4" s="27" t="s">
        <v>53</v>
      </c>
      <c r="J4" s="11"/>
    </row>
    <row r="5" spans="1:10" ht="18" customHeight="1">
      <c r="A5" s="7" t="s">
        <v>48</v>
      </c>
      <c r="B5" s="7">
        <v>1810300226</v>
      </c>
      <c r="C5" s="7" t="s">
        <v>54</v>
      </c>
      <c r="D5" s="7" t="s">
        <v>52</v>
      </c>
      <c r="E5" s="7">
        <v>26</v>
      </c>
      <c r="F5" s="7">
        <v>69</v>
      </c>
      <c r="G5" s="26">
        <v>95</v>
      </c>
      <c r="H5" s="7">
        <f t="shared" si="0"/>
        <v>95</v>
      </c>
      <c r="I5" s="7" t="s">
        <v>54</v>
      </c>
      <c r="J5" s="11"/>
    </row>
    <row r="6" spans="1:10" ht="18" customHeight="1">
      <c r="A6" s="7" t="s">
        <v>48</v>
      </c>
      <c r="B6" s="7">
        <v>1810300309</v>
      </c>
      <c r="C6" s="7" t="s">
        <v>55</v>
      </c>
      <c r="D6" s="7" t="s">
        <v>50</v>
      </c>
      <c r="E6" s="7">
        <v>27</v>
      </c>
      <c r="F6" s="7">
        <v>63</v>
      </c>
      <c r="G6" s="26">
        <v>90</v>
      </c>
      <c r="H6" s="7">
        <f t="shared" si="0"/>
        <v>90</v>
      </c>
      <c r="I6" s="7" t="s">
        <v>55</v>
      </c>
      <c r="J6" s="11"/>
    </row>
    <row r="7" spans="1:10" ht="18" customHeight="1">
      <c r="A7" s="7" t="s">
        <v>48</v>
      </c>
      <c r="B7" s="7">
        <v>1810300320</v>
      </c>
      <c r="C7" s="7" t="s">
        <v>56</v>
      </c>
      <c r="D7" s="7" t="s">
        <v>50</v>
      </c>
      <c r="E7" s="7">
        <v>22</v>
      </c>
      <c r="F7" s="7">
        <v>53</v>
      </c>
      <c r="G7" s="26">
        <v>75</v>
      </c>
      <c r="H7" s="7">
        <f t="shared" si="0"/>
        <v>75</v>
      </c>
      <c r="I7" s="7" t="s">
        <v>56</v>
      </c>
      <c r="J7" s="11"/>
    </row>
    <row r="8" spans="1:10" ht="18" customHeight="1">
      <c r="A8" s="7" t="s">
        <v>48</v>
      </c>
      <c r="B8" s="7">
        <v>1810300332</v>
      </c>
      <c r="C8" s="7" t="s">
        <v>57</v>
      </c>
      <c r="D8" s="7" t="s">
        <v>52</v>
      </c>
      <c r="E8" s="7">
        <v>26</v>
      </c>
      <c r="F8" s="7">
        <v>69</v>
      </c>
      <c r="G8" s="26">
        <v>95</v>
      </c>
      <c r="H8" s="7">
        <f t="shared" si="0"/>
        <v>95</v>
      </c>
      <c r="I8" s="7" t="s">
        <v>57</v>
      </c>
      <c r="J8" s="11"/>
    </row>
    <row r="9" spans="1:10" ht="18" customHeight="1">
      <c r="A9" s="7" t="s">
        <v>48</v>
      </c>
      <c r="B9" s="7">
        <v>1810300407</v>
      </c>
      <c r="C9" s="7" t="s">
        <v>58</v>
      </c>
      <c r="D9" s="7" t="s">
        <v>50</v>
      </c>
      <c r="E9" s="7">
        <v>27</v>
      </c>
      <c r="F9" s="7">
        <v>63</v>
      </c>
      <c r="G9" s="26">
        <v>90</v>
      </c>
      <c r="H9" s="7">
        <f t="shared" si="0"/>
        <v>90</v>
      </c>
      <c r="I9" s="7" t="s">
        <v>58</v>
      </c>
      <c r="J9" s="11"/>
    </row>
    <row r="10" spans="1:10" ht="18" customHeight="1">
      <c r="A10" s="7" t="s">
        <v>48</v>
      </c>
      <c r="B10" s="7">
        <v>1810300410</v>
      </c>
      <c r="C10" s="7" t="s">
        <v>59</v>
      </c>
      <c r="D10" s="7" t="s">
        <v>50</v>
      </c>
      <c r="E10" s="7">
        <v>27</v>
      </c>
      <c r="F10" s="7">
        <v>63</v>
      </c>
      <c r="G10" s="26">
        <v>90</v>
      </c>
      <c r="H10" s="7">
        <f t="shared" si="0"/>
        <v>90</v>
      </c>
      <c r="I10" s="7" t="s">
        <v>59</v>
      </c>
      <c r="J10" s="11"/>
    </row>
    <row r="11" spans="1:10" ht="18" customHeight="1">
      <c r="A11" s="7" t="s">
        <v>48</v>
      </c>
      <c r="B11" s="7">
        <v>1810300510</v>
      </c>
      <c r="C11" s="7" t="s">
        <v>60</v>
      </c>
      <c r="D11" s="7" t="s">
        <v>50</v>
      </c>
      <c r="E11" s="7">
        <v>29</v>
      </c>
      <c r="F11" s="7">
        <v>67</v>
      </c>
      <c r="G11" s="26">
        <v>96</v>
      </c>
      <c r="H11" s="7">
        <f t="shared" si="0"/>
        <v>96</v>
      </c>
      <c r="I11" s="7" t="s">
        <v>60</v>
      </c>
      <c r="J11" s="11"/>
    </row>
    <row r="12" spans="1:10" ht="18" customHeight="1">
      <c r="A12" s="7" t="s">
        <v>48</v>
      </c>
      <c r="B12" s="7">
        <v>1810300616</v>
      </c>
      <c r="C12" s="7" t="s">
        <v>61</v>
      </c>
      <c r="D12" s="7" t="s">
        <v>50</v>
      </c>
      <c r="E12" s="7">
        <v>23</v>
      </c>
      <c r="F12" s="7">
        <v>52</v>
      </c>
      <c r="G12" s="26">
        <v>75</v>
      </c>
      <c r="H12" s="7">
        <f t="shared" si="0"/>
        <v>75</v>
      </c>
      <c r="I12" s="7" t="s">
        <v>61</v>
      </c>
      <c r="J12" s="11"/>
    </row>
    <row r="13" spans="1:10" ht="18" customHeight="1">
      <c r="A13" s="7" t="s">
        <v>48</v>
      </c>
      <c r="B13" s="7">
        <v>1810300614</v>
      </c>
      <c r="C13" s="7" t="s">
        <v>62</v>
      </c>
      <c r="D13" s="7" t="s">
        <v>50</v>
      </c>
      <c r="E13" s="7">
        <v>20</v>
      </c>
      <c r="F13" s="7">
        <v>50</v>
      </c>
      <c r="G13" s="26">
        <v>70</v>
      </c>
      <c r="H13" s="7">
        <f t="shared" si="0"/>
        <v>70</v>
      </c>
      <c r="I13" s="7" t="s">
        <v>62</v>
      </c>
      <c r="J13" s="11"/>
    </row>
    <row r="14" spans="1:10" ht="18" customHeight="1">
      <c r="A14" s="7" t="s">
        <v>48</v>
      </c>
      <c r="B14" s="7">
        <v>1810300615</v>
      </c>
      <c r="C14" s="7" t="s">
        <v>63</v>
      </c>
      <c r="D14" s="7" t="s">
        <v>50</v>
      </c>
      <c r="E14" s="7">
        <v>26</v>
      </c>
      <c r="F14" s="7">
        <v>57</v>
      </c>
      <c r="G14" s="26">
        <v>83</v>
      </c>
      <c r="H14" s="7">
        <f t="shared" si="0"/>
        <v>83</v>
      </c>
      <c r="I14" s="7" t="s">
        <v>63</v>
      </c>
      <c r="J14" s="11"/>
    </row>
    <row r="15" spans="1:10" ht="18" customHeight="1">
      <c r="A15" s="7" t="s">
        <v>48</v>
      </c>
      <c r="B15" s="7">
        <v>1810300618</v>
      </c>
      <c r="C15" s="7" t="s">
        <v>64</v>
      </c>
      <c r="D15" s="7" t="s">
        <v>50</v>
      </c>
      <c r="E15" s="7">
        <v>20</v>
      </c>
      <c r="F15" s="7">
        <v>50</v>
      </c>
      <c r="G15" s="26">
        <v>70</v>
      </c>
      <c r="H15" s="7">
        <f t="shared" si="0"/>
        <v>70</v>
      </c>
      <c r="I15" s="7" t="s">
        <v>64</v>
      </c>
      <c r="J15" s="11"/>
    </row>
    <row r="16" spans="1:10" ht="18" customHeight="1">
      <c r="A16" s="7" t="s">
        <v>48</v>
      </c>
      <c r="B16" s="7">
        <v>1810300619</v>
      </c>
      <c r="C16" s="7" t="s">
        <v>65</v>
      </c>
      <c r="D16" s="7" t="s">
        <v>50</v>
      </c>
      <c r="E16" s="7">
        <v>20</v>
      </c>
      <c r="F16" s="7">
        <v>50</v>
      </c>
      <c r="G16" s="26">
        <v>70</v>
      </c>
      <c r="H16" s="7">
        <f t="shared" si="0"/>
        <v>70</v>
      </c>
      <c r="I16" s="7" t="s">
        <v>65</v>
      </c>
      <c r="J16" s="11"/>
    </row>
    <row r="17" spans="1:10" ht="18" customHeight="1">
      <c r="A17" s="7" t="s">
        <v>48</v>
      </c>
      <c r="B17" s="7">
        <v>1810300706</v>
      </c>
      <c r="C17" s="7" t="s">
        <v>66</v>
      </c>
      <c r="D17" s="7" t="s">
        <v>50</v>
      </c>
      <c r="E17" s="7">
        <v>21</v>
      </c>
      <c r="F17" s="7">
        <v>49</v>
      </c>
      <c r="G17" s="26">
        <v>70</v>
      </c>
      <c r="H17" s="7">
        <f t="shared" si="0"/>
        <v>70</v>
      </c>
      <c r="I17" s="7" t="s">
        <v>66</v>
      </c>
      <c r="J17" s="11"/>
    </row>
    <row r="18" spans="1:10" ht="18" customHeight="1">
      <c r="A18" s="7" t="s">
        <v>48</v>
      </c>
      <c r="B18" s="7">
        <v>1810300711</v>
      </c>
      <c r="C18" s="7" t="s">
        <v>67</v>
      </c>
      <c r="D18" s="7" t="s">
        <v>50</v>
      </c>
      <c r="E18" s="7">
        <v>21</v>
      </c>
      <c r="F18" s="7">
        <v>49</v>
      </c>
      <c r="G18" s="26">
        <v>70</v>
      </c>
      <c r="H18" s="7">
        <f t="shared" si="0"/>
        <v>70</v>
      </c>
      <c r="I18" s="7" t="s">
        <v>67</v>
      </c>
      <c r="J18" s="11"/>
    </row>
    <row r="19" spans="1:10" ht="18" customHeight="1">
      <c r="A19" s="7" t="s">
        <v>48</v>
      </c>
      <c r="B19" s="7">
        <v>1810300713</v>
      </c>
      <c r="C19" s="7" t="s">
        <v>68</v>
      </c>
      <c r="D19" s="7" t="s">
        <v>50</v>
      </c>
      <c r="E19" s="7">
        <v>21</v>
      </c>
      <c r="F19" s="7">
        <v>49</v>
      </c>
      <c r="G19" s="26">
        <v>70</v>
      </c>
      <c r="H19" s="7">
        <f t="shared" si="0"/>
        <v>70</v>
      </c>
      <c r="I19" s="7" t="s">
        <v>68</v>
      </c>
      <c r="J19" s="11"/>
    </row>
    <row r="20" spans="1:10" ht="18" customHeight="1">
      <c r="A20" s="7" t="s">
        <v>48</v>
      </c>
      <c r="B20" s="7">
        <v>1810300720</v>
      </c>
      <c r="C20" s="7" t="s">
        <v>69</v>
      </c>
      <c r="D20" s="7" t="s">
        <v>50</v>
      </c>
      <c r="E20" s="7">
        <v>21</v>
      </c>
      <c r="F20" s="7">
        <v>49</v>
      </c>
      <c r="G20" s="26">
        <v>70</v>
      </c>
      <c r="H20" s="7">
        <f t="shared" si="0"/>
        <v>70</v>
      </c>
      <c r="I20" s="7" t="s">
        <v>69</v>
      </c>
      <c r="J20" s="11"/>
    </row>
    <row r="21" spans="1:10" ht="18" customHeight="1">
      <c r="A21" s="7" t="s">
        <v>48</v>
      </c>
      <c r="B21" s="7">
        <v>1810300722</v>
      </c>
      <c r="C21" s="7" t="s">
        <v>70</v>
      </c>
      <c r="D21" s="7" t="s">
        <v>50</v>
      </c>
      <c r="E21" s="7">
        <v>21</v>
      </c>
      <c r="F21" s="7">
        <v>49</v>
      </c>
      <c r="G21" s="26"/>
      <c r="H21" s="7">
        <f t="shared" si="0"/>
        <v>70</v>
      </c>
      <c r="I21" s="7" t="s">
        <v>70</v>
      </c>
      <c r="J21" s="11"/>
    </row>
    <row r="22" spans="1:10" ht="18" customHeight="1">
      <c r="A22" s="7" t="s">
        <v>48</v>
      </c>
      <c r="B22" s="7">
        <v>1810300801</v>
      </c>
      <c r="C22" s="7" t="s">
        <v>71</v>
      </c>
      <c r="D22" s="7" t="s">
        <v>50</v>
      </c>
      <c r="E22" s="7">
        <v>21</v>
      </c>
      <c r="F22" s="7">
        <v>49</v>
      </c>
      <c r="G22" s="26">
        <v>70</v>
      </c>
      <c r="H22" s="7">
        <f t="shared" si="0"/>
        <v>70</v>
      </c>
      <c r="I22" s="7" t="s">
        <v>71</v>
      </c>
      <c r="J22" s="11"/>
    </row>
    <row r="23" spans="1:10" ht="18" customHeight="1">
      <c r="A23" s="7" t="s">
        <v>48</v>
      </c>
      <c r="B23" s="7">
        <v>1810300814</v>
      </c>
      <c r="C23" s="7" t="s">
        <v>72</v>
      </c>
      <c r="D23" s="7" t="s">
        <v>50</v>
      </c>
      <c r="E23" s="7">
        <v>21</v>
      </c>
      <c r="F23" s="7">
        <v>49</v>
      </c>
      <c r="G23" s="26">
        <v>70</v>
      </c>
      <c r="H23" s="7">
        <f t="shared" si="0"/>
        <v>70</v>
      </c>
      <c r="I23" s="7" t="s">
        <v>72</v>
      </c>
      <c r="J23" s="11"/>
    </row>
    <row r="24" spans="1:10" ht="18" customHeight="1">
      <c r="A24" s="7" t="s">
        <v>48</v>
      </c>
      <c r="B24" s="7">
        <v>1810300918</v>
      </c>
      <c r="C24" s="7" t="s">
        <v>73</v>
      </c>
      <c r="D24" s="7" t="s">
        <v>50</v>
      </c>
      <c r="E24" s="7">
        <v>24</v>
      </c>
      <c r="F24" s="7">
        <v>56</v>
      </c>
      <c r="G24" s="26">
        <v>80</v>
      </c>
      <c r="H24" s="7">
        <f t="shared" si="0"/>
        <v>80</v>
      </c>
      <c r="I24" s="7" t="s">
        <v>73</v>
      </c>
      <c r="J24" s="11"/>
    </row>
    <row r="25" spans="1:10" ht="18" customHeight="1">
      <c r="A25" s="7" t="s">
        <v>48</v>
      </c>
      <c r="B25" s="7">
        <v>1810301028</v>
      </c>
      <c r="C25" s="7" t="s">
        <v>74</v>
      </c>
      <c r="D25" s="7" t="s">
        <v>52</v>
      </c>
      <c r="E25" s="7">
        <v>24</v>
      </c>
      <c r="F25" s="7">
        <v>56</v>
      </c>
      <c r="G25" s="26">
        <v>80</v>
      </c>
      <c r="H25" s="7">
        <f t="shared" si="0"/>
        <v>80</v>
      </c>
      <c r="I25" s="7" t="s">
        <v>74</v>
      </c>
      <c r="J25" s="11"/>
    </row>
    <row r="26" spans="1:10" ht="18" customHeight="1">
      <c r="A26" s="7" t="s">
        <v>48</v>
      </c>
      <c r="B26" s="7">
        <v>1810301104</v>
      </c>
      <c r="C26" s="7" t="s">
        <v>75</v>
      </c>
      <c r="D26" s="7" t="s">
        <v>50</v>
      </c>
      <c r="E26" s="7">
        <v>24</v>
      </c>
      <c r="F26" s="7">
        <v>56</v>
      </c>
      <c r="G26" s="26">
        <v>80</v>
      </c>
      <c r="H26" s="7">
        <f t="shared" si="0"/>
        <v>80</v>
      </c>
      <c r="I26" s="7" t="s">
        <v>75</v>
      </c>
      <c r="J26" s="11"/>
    </row>
    <row r="27" spans="1:10" ht="18" customHeight="1">
      <c r="A27" s="7" t="s">
        <v>48</v>
      </c>
      <c r="B27" s="7">
        <v>1810301130</v>
      </c>
      <c r="C27" s="7" t="s">
        <v>76</v>
      </c>
      <c r="D27" s="7" t="s">
        <v>52</v>
      </c>
      <c r="E27" s="7">
        <v>20</v>
      </c>
      <c r="F27" s="7">
        <v>60</v>
      </c>
      <c r="G27" s="26">
        <v>80</v>
      </c>
      <c r="H27" s="7">
        <f t="shared" si="0"/>
        <v>80</v>
      </c>
      <c r="I27" s="7" t="s">
        <v>76</v>
      </c>
      <c r="J27" s="11"/>
    </row>
    <row r="28" spans="1:10" ht="18" customHeight="1">
      <c r="A28" s="7" t="s">
        <v>48</v>
      </c>
      <c r="B28" s="7">
        <v>1810301204</v>
      </c>
      <c r="C28" s="7" t="s">
        <v>77</v>
      </c>
      <c r="D28" s="7" t="s">
        <v>50</v>
      </c>
      <c r="E28" s="7">
        <v>27</v>
      </c>
      <c r="F28" s="7">
        <v>63</v>
      </c>
      <c r="G28" s="26">
        <v>90</v>
      </c>
      <c r="H28" s="7">
        <f t="shared" si="0"/>
        <v>90</v>
      </c>
      <c r="I28" s="7" t="s">
        <v>77</v>
      </c>
      <c r="J28" s="11"/>
    </row>
    <row r="29" spans="1:10" ht="18" customHeight="1">
      <c r="A29" s="7" t="s">
        <v>48</v>
      </c>
      <c r="B29" s="7">
        <v>1810511103</v>
      </c>
      <c r="C29" s="7" t="s">
        <v>78</v>
      </c>
      <c r="D29" s="7" t="s">
        <v>50</v>
      </c>
      <c r="E29" s="7">
        <v>24</v>
      </c>
      <c r="F29" s="7">
        <v>56</v>
      </c>
      <c r="G29" s="26">
        <v>80</v>
      </c>
      <c r="H29" s="7">
        <f t="shared" ref="H29:H84" si="1">E29+F29</f>
        <v>80</v>
      </c>
      <c r="I29" s="7" t="s">
        <v>78</v>
      </c>
      <c r="J29" s="11"/>
    </row>
    <row r="30" spans="1:10" ht="18" customHeight="1">
      <c r="A30" s="7" t="s">
        <v>80</v>
      </c>
      <c r="B30" s="7" t="s">
        <v>81</v>
      </c>
      <c r="C30" s="7" t="s">
        <v>82</v>
      </c>
      <c r="D30" s="7" t="s">
        <v>50</v>
      </c>
      <c r="E30" s="7">
        <v>27</v>
      </c>
      <c r="F30" s="7">
        <v>63</v>
      </c>
      <c r="G30" s="27">
        <v>90</v>
      </c>
      <c r="H30" s="7">
        <f t="shared" si="1"/>
        <v>90</v>
      </c>
      <c r="I30" s="7" t="s">
        <v>82</v>
      </c>
    </row>
    <row r="31" spans="1:10" ht="18" customHeight="1">
      <c r="A31" s="7" t="s">
        <v>80</v>
      </c>
      <c r="B31" s="7" t="s">
        <v>83</v>
      </c>
      <c r="C31" s="7" t="s">
        <v>84</v>
      </c>
      <c r="D31" s="7" t="s">
        <v>50</v>
      </c>
      <c r="E31" s="7">
        <v>27</v>
      </c>
      <c r="F31" s="7">
        <v>63</v>
      </c>
      <c r="G31" s="27">
        <v>90</v>
      </c>
      <c r="H31" s="7">
        <f t="shared" si="1"/>
        <v>90</v>
      </c>
      <c r="I31" s="7" t="s">
        <v>84</v>
      </c>
    </row>
    <row r="32" spans="1:10" ht="18" customHeight="1">
      <c r="A32" s="7" t="s">
        <v>80</v>
      </c>
      <c r="B32" s="7" t="s">
        <v>85</v>
      </c>
      <c r="C32" s="7" t="s">
        <v>86</v>
      </c>
      <c r="D32" s="7" t="s">
        <v>50</v>
      </c>
      <c r="E32" s="7">
        <v>27</v>
      </c>
      <c r="F32" s="7">
        <v>65</v>
      </c>
      <c r="G32" s="27">
        <v>92</v>
      </c>
      <c r="H32" s="7">
        <f t="shared" si="1"/>
        <v>92</v>
      </c>
      <c r="I32" s="7" t="s">
        <v>86</v>
      </c>
    </row>
    <row r="33" spans="1:9" ht="18" customHeight="1">
      <c r="A33" s="7" t="s">
        <v>80</v>
      </c>
      <c r="B33" s="7" t="s">
        <v>87</v>
      </c>
      <c r="C33" s="7" t="s">
        <v>88</v>
      </c>
      <c r="D33" s="7" t="s">
        <v>50</v>
      </c>
      <c r="E33" s="7">
        <v>27</v>
      </c>
      <c r="F33" s="7">
        <v>63</v>
      </c>
      <c r="G33" s="27">
        <v>90</v>
      </c>
      <c r="H33" s="7">
        <f t="shared" si="1"/>
        <v>90</v>
      </c>
      <c r="I33" s="7" t="s">
        <v>88</v>
      </c>
    </row>
    <row r="34" spans="1:9" ht="18" customHeight="1">
      <c r="A34" s="7" t="s">
        <v>80</v>
      </c>
      <c r="B34" s="7" t="s">
        <v>89</v>
      </c>
      <c r="C34" s="7" t="s">
        <v>90</v>
      </c>
      <c r="D34" s="7" t="s">
        <v>50</v>
      </c>
      <c r="E34" s="7">
        <v>21</v>
      </c>
      <c r="F34" s="7">
        <v>50</v>
      </c>
      <c r="G34" s="27">
        <v>71</v>
      </c>
      <c r="H34" s="7">
        <f t="shared" si="1"/>
        <v>71</v>
      </c>
      <c r="I34" s="7" t="s">
        <v>90</v>
      </c>
    </row>
    <row r="35" spans="1:9" ht="18" customHeight="1">
      <c r="A35" s="7" t="s">
        <v>80</v>
      </c>
      <c r="B35" s="7" t="s">
        <v>91</v>
      </c>
      <c r="C35" s="7" t="s">
        <v>92</v>
      </c>
      <c r="D35" s="7" t="s">
        <v>52</v>
      </c>
      <c r="E35" s="7">
        <v>29</v>
      </c>
      <c r="F35" s="7">
        <v>69</v>
      </c>
      <c r="G35" s="27">
        <v>98</v>
      </c>
      <c r="H35" s="7">
        <f t="shared" si="1"/>
        <v>98</v>
      </c>
      <c r="I35" s="7" t="s">
        <v>92</v>
      </c>
    </row>
    <row r="36" spans="1:9" ht="18" customHeight="1">
      <c r="A36" s="7" t="s">
        <v>80</v>
      </c>
      <c r="B36" s="7" t="s">
        <v>93</v>
      </c>
      <c r="C36" s="7" t="s">
        <v>94</v>
      </c>
      <c r="D36" s="7" t="s">
        <v>50</v>
      </c>
      <c r="E36" s="7">
        <v>22</v>
      </c>
      <c r="F36" s="7">
        <v>53</v>
      </c>
      <c r="G36" s="27">
        <v>75</v>
      </c>
      <c r="H36" s="7">
        <f t="shared" si="1"/>
        <v>75</v>
      </c>
      <c r="I36" s="7" t="s">
        <v>94</v>
      </c>
    </row>
    <row r="37" spans="1:9" ht="18" customHeight="1">
      <c r="A37" s="24" t="s">
        <v>80</v>
      </c>
      <c r="B37" s="7" t="s">
        <v>95</v>
      </c>
      <c r="C37" s="7" t="s">
        <v>96</v>
      </c>
      <c r="D37" s="7" t="s">
        <v>50</v>
      </c>
      <c r="E37" s="7">
        <v>22</v>
      </c>
      <c r="F37" s="7">
        <v>53</v>
      </c>
      <c r="G37" s="27">
        <v>75</v>
      </c>
      <c r="H37" s="7">
        <f t="shared" si="1"/>
        <v>75</v>
      </c>
      <c r="I37" s="7" t="s">
        <v>96</v>
      </c>
    </row>
    <row r="38" spans="1:9" ht="18" customHeight="1">
      <c r="A38" s="24" t="s">
        <v>80</v>
      </c>
      <c r="B38" s="7" t="s">
        <v>97</v>
      </c>
      <c r="C38" s="7" t="s">
        <v>98</v>
      </c>
      <c r="D38" s="7" t="s">
        <v>50</v>
      </c>
      <c r="E38" s="7">
        <v>22</v>
      </c>
      <c r="F38" s="7">
        <v>53</v>
      </c>
      <c r="G38" s="27">
        <v>75</v>
      </c>
      <c r="H38" s="7">
        <f t="shared" si="1"/>
        <v>75</v>
      </c>
      <c r="I38" s="7" t="s">
        <v>98</v>
      </c>
    </row>
    <row r="39" spans="1:9" ht="18" customHeight="1">
      <c r="A39" s="24" t="s">
        <v>80</v>
      </c>
      <c r="B39" s="7" t="s">
        <v>99</v>
      </c>
      <c r="C39" s="9" t="s">
        <v>100</v>
      </c>
      <c r="D39" s="7" t="s">
        <v>50</v>
      </c>
      <c r="E39" s="7">
        <v>23</v>
      </c>
      <c r="F39" s="7">
        <v>51</v>
      </c>
      <c r="G39" s="27">
        <v>74</v>
      </c>
      <c r="H39" s="7">
        <f t="shared" si="1"/>
        <v>74</v>
      </c>
      <c r="I39" s="9" t="s">
        <v>100</v>
      </c>
    </row>
    <row r="40" spans="1:9" ht="18" customHeight="1">
      <c r="A40" s="24" t="s">
        <v>80</v>
      </c>
      <c r="B40" s="7" t="s">
        <v>101</v>
      </c>
      <c r="C40" s="7" t="s">
        <v>102</v>
      </c>
      <c r="D40" s="7" t="s">
        <v>50</v>
      </c>
      <c r="E40" s="7">
        <v>23</v>
      </c>
      <c r="F40" s="7">
        <v>51</v>
      </c>
      <c r="G40" s="27">
        <v>74</v>
      </c>
      <c r="H40" s="7">
        <f t="shared" si="1"/>
        <v>74</v>
      </c>
      <c r="I40" s="7" t="s">
        <v>102</v>
      </c>
    </row>
    <row r="41" spans="1:9" ht="18" customHeight="1">
      <c r="A41" s="28" t="s">
        <v>80</v>
      </c>
      <c r="B41" s="27" t="s">
        <v>103</v>
      </c>
      <c r="C41" s="27" t="s">
        <v>104</v>
      </c>
      <c r="D41" s="27" t="s">
        <v>50</v>
      </c>
      <c r="E41" s="27"/>
      <c r="F41" s="27"/>
      <c r="G41" s="27"/>
      <c r="H41" s="27">
        <f t="shared" si="1"/>
        <v>0</v>
      </c>
      <c r="I41" s="27" t="s">
        <v>104</v>
      </c>
    </row>
    <row r="42" spans="1:9" ht="18" customHeight="1">
      <c r="A42" s="24" t="s">
        <v>80</v>
      </c>
      <c r="B42" s="7" t="s">
        <v>105</v>
      </c>
      <c r="C42" s="7" t="s">
        <v>106</v>
      </c>
      <c r="D42" s="7" t="s">
        <v>52</v>
      </c>
      <c r="E42" s="7">
        <v>23</v>
      </c>
      <c r="F42" s="7">
        <v>51</v>
      </c>
      <c r="G42" s="27">
        <v>74</v>
      </c>
      <c r="H42" s="7">
        <f t="shared" si="1"/>
        <v>74</v>
      </c>
      <c r="I42" s="7" t="s">
        <v>106</v>
      </c>
    </row>
    <row r="43" spans="1:9" ht="18" customHeight="1">
      <c r="A43" s="24" t="s">
        <v>80</v>
      </c>
      <c r="B43" s="7" t="s">
        <v>107</v>
      </c>
      <c r="C43" s="7" t="s">
        <v>108</v>
      </c>
      <c r="D43" s="7" t="s">
        <v>52</v>
      </c>
      <c r="E43" s="7">
        <v>24</v>
      </c>
      <c r="F43" s="7">
        <v>56</v>
      </c>
      <c r="G43" s="27">
        <v>80</v>
      </c>
      <c r="H43" s="7">
        <f t="shared" si="1"/>
        <v>80</v>
      </c>
      <c r="I43" s="7" t="s">
        <v>108</v>
      </c>
    </row>
    <row r="44" spans="1:9" ht="18" customHeight="1">
      <c r="A44" s="24" t="s">
        <v>80</v>
      </c>
      <c r="B44" s="7" t="s">
        <v>109</v>
      </c>
      <c r="C44" s="7" t="s">
        <v>110</v>
      </c>
      <c r="D44" s="7" t="s">
        <v>50</v>
      </c>
      <c r="E44" s="7">
        <v>21</v>
      </c>
      <c r="F44" s="7">
        <v>49</v>
      </c>
      <c r="G44" s="27">
        <v>70</v>
      </c>
      <c r="H44" s="7">
        <f t="shared" si="1"/>
        <v>70</v>
      </c>
      <c r="I44" s="7" t="s">
        <v>110</v>
      </c>
    </row>
    <row r="45" spans="1:9" ht="18" customHeight="1">
      <c r="A45" s="24" t="s">
        <v>80</v>
      </c>
      <c r="B45" s="7" t="s">
        <v>111</v>
      </c>
      <c r="C45" s="7" t="s">
        <v>112</v>
      </c>
      <c r="D45" s="7" t="s">
        <v>50</v>
      </c>
      <c r="E45" s="7">
        <v>21</v>
      </c>
      <c r="F45" s="7">
        <v>49</v>
      </c>
      <c r="G45" s="27">
        <v>70</v>
      </c>
      <c r="H45" s="7">
        <f t="shared" si="1"/>
        <v>70</v>
      </c>
      <c r="I45" s="7" t="s">
        <v>112</v>
      </c>
    </row>
    <row r="46" spans="1:9" ht="18" customHeight="1">
      <c r="A46" s="24" t="s">
        <v>80</v>
      </c>
      <c r="B46" s="7" t="s">
        <v>113</v>
      </c>
      <c r="C46" s="7" t="s">
        <v>114</v>
      </c>
      <c r="D46" s="7" t="s">
        <v>50</v>
      </c>
      <c r="E46" s="7">
        <v>21</v>
      </c>
      <c r="F46" s="7">
        <v>49</v>
      </c>
      <c r="G46" s="27">
        <v>70</v>
      </c>
      <c r="H46" s="7">
        <f t="shared" si="1"/>
        <v>70</v>
      </c>
      <c r="I46" s="7" t="s">
        <v>114</v>
      </c>
    </row>
    <row r="47" spans="1:9" ht="18" customHeight="1">
      <c r="A47" s="24" t="s">
        <v>80</v>
      </c>
      <c r="B47" s="7" t="s">
        <v>115</v>
      </c>
      <c r="C47" s="7" t="s">
        <v>116</v>
      </c>
      <c r="D47" s="7" t="s">
        <v>50</v>
      </c>
      <c r="E47" s="7">
        <v>23</v>
      </c>
      <c r="F47" s="7">
        <v>51</v>
      </c>
      <c r="G47" s="27">
        <v>74</v>
      </c>
      <c r="H47" s="7">
        <f t="shared" si="1"/>
        <v>74</v>
      </c>
      <c r="I47" s="7" t="s">
        <v>116</v>
      </c>
    </row>
    <row r="48" spans="1:9" ht="18" customHeight="1">
      <c r="A48" s="24" t="s">
        <v>80</v>
      </c>
      <c r="B48" s="7" t="s">
        <v>117</v>
      </c>
      <c r="C48" s="7" t="s">
        <v>118</v>
      </c>
      <c r="D48" s="7" t="s">
        <v>50</v>
      </c>
      <c r="E48" s="7">
        <v>24</v>
      </c>
      <c r="F48" s="7">
        <v>56</v>
      </c>
      <c r="G48" s="27">
        <v>80</v>
      </c>
      <c r="H48" s="7">
        <f t="shared" si="1"/>
        <v>80</v>
      </c>
      <c r="I48" s="7" t="s">
        <v>118</v>
      </c>
    </row>
    <row r="49" spans="1:10" ht="18" customHeight="1">
      <c r="A49" s="24" t="s">
        <v>80</v>
      </c>
      <c r="B49" s="7" t="s">
        <v>119</v>
      </c>
      <c r="C49" s="7" t="s">
        <v>120</v>
      </c>
      <c r="D49" s="7" t="s">
        <v>50</v>
      </c>
      <c r="E49" s="7">
        <v>24</v>
      </c>
      <c r="F49" s="7">
        <v>56</v>
      </c>
      <c r="G49" s="27">
        <v>80</v>
      </c>
      <c r="H49" s="7">
        <f t="shared" si="1"/>
        <v>80</v>
      </c>
      <c r="I49" s="7" t="s">
        <v>120</v>
      </c>
    </row>
    <row r="50" spans="1:10" ht="18" customHeight="1">
      <c r="A50" s="24" t="s">
        <v>80</v>
      </c>
      <c r="B50" s="7" t="s">
        <v>121</v>
      </c>
      <c r="C50" s="7" t="s">
        <v>122</v>
      </c>
      <c r="D50" s="7" t="s">
        <v>50</v>
      </c>
      <c r="E50" s="7">
        <v>25</v>
      </c>
      <c r="F50" s="7">
        <v>55</v>
      </c>
      <c r="G50" s="27">
        <v>80</v>
      </c>
      <c r="H50" s="7">
        <f t="shared" si="1"/>
        <v>80</v>
      </c>
      <c r="I50" s="7" t="s">
        <v>122</v>
      </c>
    </row>
    <row r="51" spans="1:10" ht="18" customHeight="1">
      <c r="A51" s="24" t="s">
        <v>80</v>
      </c>
      <c r="B51" s="7" t="s">
        <v>123</v>
      </c>
      <c r="C51" s="7" t="s">
        <v>124</v>
      </c>
      <c r="D51" s="7" t="s">
        <v>50</v>
      </c>
      <c r="E51" s="7">
        <v>24</v>
      </c>
      <c r="F51" s="7">
        <v>56</v>
      </c>
      <c r="G51" s="27">
        <v>80</v>
      </c>
      <c r="H51" s="7">
        <f t="shared" si="1"/>
        <v>80</v>
      </c>
      <c r="I51" s="7" t="s">
        <v>124</v>
      </c>
    </row>
    <row r="52" spans="1:10" ht="18" customHeight="1">
      <c r="A52" s="24" t="s">
        <v>80</v>
      </c>
      <c r="B52" s="7" t="s">
        <v>125</v>
      </c>
      <c r="C52" s="7" t="s">
        <v>126</v>
      </c>
      <c r="D52" s="7" t="s">
        <v>50</v>
      </c>
      <c r="E52" s="7">
        <v>24</v>
      </c>
      <c r="F52" s="7">
        <v>56</v>
      </c>
      <c r="G52" s="27">
        <v>80</v>
      </c>
      <c r="H52" s="7">
        <f t="shared" si="1"/>
        <v>80</v>
      </c>
      <c r="I52" s="7" t="s">
        <v>126</v>
      </c>
    </row>
    <row r="53" spans="1:10" ht="18" customHeight="1">
      <c r="A53" s="24" t="s">
        <v>80</v>
      </c>
      <c r="B53" s="7" t="s">
        <v>127</v>
      </c>
      <c r="C53" s="7" t="s">
        <v>128</v>
      </c>
      <c r="D53" s="7" t="s">
        <v>52</v>
      </c>
      <c r="E53" s="7">
        <v>21</v>
      </c>
      <c r="F53" s="7">
        <v>49</v>
      </c>
      <c r="G53" s="27">
        <v>70</v>
      </c>
      <c r="H53" s="7">
        <f t="shared" si="1"/>
        <v>70</v>
      </c>
      <c r="I53" s="7" t="s">
        <v>128</v>
      </c>
    </row>
    <row r="54" spans="1:10" ht="18" customHeight="1">
      <c r="A54" s="24" t="s">
        <v>80</v>
      </c>
      <c r="B54" s="7" t="s">
        <v>129</v>
      </c>
      <c r="C54" s="7" t="s">
        <v>130</v>
      </c>
      <c r="D54" s="7" t="s">
        <v>50</v>
      </c>
      <c r="E54" s="7">
        <v>24</v>
      </c>
      <c r="F54" s="7">
        <v>56</v>
      </c>
      <c r="G54" s="27">
        <v>80</v>
      </c>
      <c r="H54" s="7">
        <f t="shared" si="1"/>
        <v>80</v>
      </c>
      <c r="I54" s="7" t="s">
        <v>130</v>
      </c>
    </row>
    <row r="55" spans="1:10" ht="18" customHeight="1">
      <c r="A55" s="24" t="s">
        <v>80</v>
      </c>
      <c r="B55" s="7" t="s">
        <v>131</v>
      </c>
      <c r="C55" s="7" t="s">
        <v>132</v>
      </c>
      <c r="D55" s="7" t="s">
        <v>50</v>
      </c>
      <c r="E55" s="7">
        <v>24</v>
      </c>
      <c r="F55" s="7">
        <v>56</v>
      </c>
      <c r="G55" s="27">
        <v>80</v>
      </c>
      <c r="H55" s="7">
        <f t="shared" si="1"/>
        <v>80</v>
      </c>
      <c r="I55" s="7" t="s">
        <v>132</v>
      </c>
    </row>
    <row r="56" spans="1:10" ht="18" customHeight="1">
      <c r="A56" s="7" t="s">
        <v>80</v>
      </c>
      <c r="B56" s="7" t="s">
        <v>133</v>
      </c>
      <c r="C56" s="7" t="s">
        <v>134</v>
      </c>
      <c r="D56" s="7" t="s">
        <v>52</v>
      </c>
      <c r="E56" s="7">
        <v>21</v>
      </c>
      <c r="F56" s="7">
        <v>49</v>
      </c>
      <c r="G56" s="27">
        <v>70</v>
      </c>
      <c r="H56" s="7">
        <f t="shared" si="1"/>
        <v>70</v>
      </c>
      <c r="I56" s="7" t="s">
        <v>134</v>
      </c>
    </row>
    <row r="57" spans="1:10" ht="18" customHeight="1">
      <c r="A57" s="7" t="s">
        <v>80</v>
      </c>
      <c r="B57" s="7" t="s">
        <v>135</v>
      </c>
      <c r="C57" s="7" t="s">
        <v>136</v>
      </c>
      <c r="D57" s="7" t="s">
        <v>50</v>
      </c>
      <c r="E57" s="7">
        <v>24</v>
      </c>
      <c r="F57" s="7">
        <v>56</v>
      </c>
      <c r="G57" s="27">
        <v>80</v>
      </c>
      <c r="H57" s="7">
        <f t="shared" si="1"/>
        <v>80</v>
      </c>
      <c r="I57" s="7" t="s">
        <v>136</v>
      </c>
    </row>
    <row r="58" spans="1:10" ht="18" customHeight="1">
      <c r="A58" s="7" t="s">
        <v>80</v>
      </c>
      <c r="B58" s="7" t="s">
        <v>137</v>
      </c>
      <c r="C58" s="7" t="s">
        <v>138</v>
      </c>
      <c r="D58" s="7" t="s">
        <v>50</v>
      </c>
      <c r="E58" s="7">
        <v>24</v>
      </c>
      <c r="F58" s="7">
        <v>56</v>
      </c>
      <c r="G58" s="27">
        <v>80</v>
      </c>
      <c r="H58" s="7">
        <f t="shared" si="1"/>
        <v>80</v>
      </c>
      <c r="I58" s="7" t="s">
        <v>138</v>
      </c>
    </row>
    <row r="59" spans="1:10" ht="18" customHeight="1">
      <c r="A59" s="7" t="s">
        <v>140</v>
      </c>
      <c r="B59" s="7" t="s">
        <v>141</v>
      </c>
      <c r="C59" s="7" t="s">
        <v>50</v>
      </c>
      <c r="D59" s="7"/>
      <c r="E59" s="7">
        <v>22</v>
      </c>
      <c r="F59" s="7">
        <v>49</v>
      </c>
      <c r="G59" s="27">
        <v>71</v>
      </c>
      <c r="H59" s="7">
        <f t="shared" si="1"/>
        <v>71</v>
      </c>
      <c r="I59" s="9" t="s">
        <v>304</v>
      </c>
      <c r="J59" s="7" t="s">
        <v>141</v>
      </c>
    </row>
    <row r="60" spans="1:10" ht="18" customHeight="1">
      <c r="A60" s="7" t="s">
        <v>142</v>
      </c>
      <c r="B60" s="7" t="s">
        <v>143</v>
      </c>
      <c r="C60" s="7" t="s">
        <v>50</v>
      </c>
      <c r="D60" s="7"/>
      <c r="E60" s="7">
        <v>21</v>
      </c>
      <c r="F60" s="7">
        <v>50</v>
      </c>
      <c r="G60" s="27">
        <v>71</v>
      </c>
      <c r="H60" s="7">
        <f t="shared" si="1"/>
        <v>71</v>
      </c>
      <c r="I60" s="7"/>
      <c r="J60" s="7" t="s">
        <v>143</v>
      </c>
    </row>
    <row r="61" spans="1:10" ht="18" customHeight="1">
      <c r="A61" s="7" t="s">
        <v>144</v>
      </c>
      <c r="B61" s="7" t="s">
        <v>145</v>
      </c>
      <c r="C61" s="7" t="s">
        <v>50</v>
      </c>
      <c r="D61" s="7" t="s">
        <v>8</v>
      </c>
      <c r="E61" s="7">
        <v>22</v>
      </c>
      <c r="F61" s="7">
        <v>53</v>
      </c>
      <c r="G61" s="27">
        <v>75</v>
      </c>
      <c r="H61" s="7">
        <f t="shared" si="1"/>
        <v>75</v>
      </c>
      <c r="I61" s="7"/>
      <c r="J61" s="7" t="s">
        <v>145</v>
      </c>
    </row>
    <row r="62" spans="1:10" ht="18" customHeight="1">
      <c r="A62" s="7" t="s">
        <v>146</v>
      </c>
      <c r="B62" s="7" t="s">
        <v>147</v>
      </c>
      <c r="C62" s="7" t="s">
        <v>50</v>
      </c>
      <c r="D62" s="7"/>
      <c r="E62" s="7">
        <v>29</v>
      </c>
      <c r="F62" s="7">
        <v>69</v>
      </c>
      <c r="G62" s="27">
        <v>98</v>
      </c>
      <c r="H62" s="7">
        <f t="shared" si="1"/>
        <v>98</v>
      </c>
      <c r="I62" s="29"/>
      <c r="J62" s="7" t="s">
        <v>147</v>
      </c>
    </row>
    <row r="63" spans="1:10" ht="18" customHeight="1">
      <c r="A63" s="7" t="s">
        <v>148</v>
      </c>
      <c r="B63" s="7" t="s">
        <v>149</v>
      </c>
      <c r="C63" s="7" t="s">
        <v>50</v>
      </c>
      <c r="D63" s="7"/>
      <c r="E63" s="7">
        <v>25</v>
      </c>
      <c r="F63" s="7">
        <v>50</v>
      </c>
      <c r="G63" s="27">
        <v>75</v>
      </c>
      <c r="H63" s="7">
        <f t="shared" si="1"/>
        <v>75</v>
      </c>
      <c r="I63" s="7"/>
      <c r="J63" s="7" t="s">
        <v>149</v>
      </c>
    </row>
    <row r="64" spans="1:10" ht="18" customHeight="1">
      <c r="A64" s="7" t="s">
        <v>150</v>
      </c>
      <c r="B64" s="7" t="s">
        <v>151</v>
      </c>
      <c r="C64" s="7" t="s">
        <v>52</v>
      </c>
      <c r="D64" s="7"/>
      <c r="E64" s="7">
        <v>30</v>
      </c>
      <c r="F64" s="7">
        <v>68</v>
      </c>
      <c r="G64" s="27">
        <v>98</v>
      </c>
      <c r="H64" s="7">
        <f t="shared" si="1"/>
        <v>98</v>
      </c>
      <c r="I64" s="7"/>
      <c r="J64" s="7" t="s">
        <v>151</v>
      </c>
    </row>
    <row r="65" spans="1:10" ht="18" customHeight="1">
      <c r="A65" s="7" t="s">
        <v>152</v>
      </c>
      <c r="B65" s="7" t="s">
        <v>153</v>
      </c>
      <c r="C65" s="7" t="s">
        <v>50</v>
      </c>
      <c r="D65" s="7"/>
      <c r="E65" s="7">
        <v>25</v>
      </c>
      <c r="F65" s="7">
        <v>50</v>
      </c>
      <c r="G65" s="27">
        <v>75</v>
      </c>
      <c r="H65" s="7">
        <f t="shared" si="1"/>
        <v>75</v>
      </c>
      <c r="I65" s="7"/>
      <c r="J65" s="7" t="s">
        <v>153</v>
      </c>
    </row>
    <row r="66" spans="1:10" ht="18" customHeight="1">
      <c r="A66" s="7" t="s">
        <v>154</v>
      </c>
      <c r="B66" s="7" t="s">
        <v>155</v>
      </c>
      <c r="C66" s="7" t="s">
        <v>50</v>
      </c>
      <c r="D66" s="7"/>
      <c r="E66" s="7">
        <v>21</v>
      </c>
      <c r="F66" s="7">
        <v>50</v>
      </c>
      <c r="G66" s="27">
        <v>71</v>
      </c>
      <c r="H66" s="7">
        <f t="shared" si="1"/>
        <v>71</v>
      </c>
      <c r="I66" s="29"/>
      <c r="J66" s="7" t="s">
        <v>155</v>
      </c>
    </row>
    <row r="67" spans="1:10" ht="18" customHeight="1">
      <c r="A67" s="7" t="s">
        <v>156</v>
      </c>
      <c r="B67" s="9" t="s">
        <v>157</v>
      </c>
      <c r="C67" s="7" t="s">
        <v>52</v>
      </c>
      <c r="D67" s="7"/>
      <c r="E67" s="7">
        <v>30</v>
      </c>
      <c r="F67" s="7">
        <v>68</v>
      </c>
      <c r="G67" s="27">
        <v>98</v>
      </c>
      <c r="H67" s="7">
        <f t="shared" si="1"/>
        <v>98</v>
      </c>
      <c r="I67" s="1"/>
      <c r="J67" s="9" t="s">
        <v>157</v>
      </c>
    </row>
    <row r="68" spans="1:10" ht="18" customHeight="1">
      <c r="A68" s="27" t="s">
        <v>158</v>
      </c>
      <c r="B68" s="27" t="s">
        <v>159</v>
      </c>
      <c r="C68" s="27" t="s">
        <v>50</v>
      </c>
      <c r="D68" s="27"/>
      <c r="E68" s="27"/>
      <c r="F68" s="27"/>
      <c r="G68" s="27" t="s">
        <v>321</v>
      </c>
      <c r="H68" s="27">
        <f t="shared" si="1"/>
        <v>0</v>
      </c>
      <c r="I68" s="27"/>
      <c r="J68" s="27" t="s">
        <v>159</v>
      </c>
    </row>
    <row r="69" spans="1:10" ht="18" customHeight="1">
      <c r="A69" s="7" t="s">
        <v>160</v>
      </c>
      <c r="B69" s="7" t="s">
        <v>161</v>
      </c>
      <c r="C69" s="7" t="s">
        <v>50</v>
      </c>
      <c r="D69" s="7"/>
      <c r="E69" s="7">
        <v>21</v>
      </c>
      <c r="F69" s="7">
        <v>49</v>
      </c>
      <c r="G69" s="27">
        <v>70</v>
      </c>
      <c r="H69" s="7">
        <f t="shared" si="1"/>
        <v>70</v>
      </c>
      <c r="I69" s="7"/>
      <c r="J69" s="7" t="s">
        <v>161</v>
      </c>
    </row>
    <row r="70" spans="1:10" ht="18" customHeight="1">
      <c r="A70" s="7" t="s">
        <v>162</v>
      </c>
      <c r="B70" s="7" t="s">
        <v>163</v>
      </c>
      <c r="C70" s="7" t="s">
        <v>50</v>
      </c>
      <c r="D70" s="7"/>
      <c r="E70" s="7">
        <v>21</v>
      </c>
      <c r="F70" s="7">
        <v>49</v>
      </c>
      <c r="G70" s="27">
        <v>70</v>
      </c>
      <c r="H70" s="7">
        <f t="shared" si="1"/>
        <v>70</v>
      </c>
      <c r="I70" s="7"/>
      <c r="J70" s="7" t="s">
        <v>163</v>
      </c>
    </row>
    <row r="71" spans="1:10" ht="18" customHeight="1">
      <c r="A71" s="7" t="s">
        <v>164</v>
      </c>
      <c r="B71" s="7" t="s">
        <v>165</v>
      </c>
      <c r="C71" s="7" t="s">
        <v>50</v>
      </c>
      <c r="D71" s="7"/>
      <c r="E71" s="7">
        <v>30</v>
      </c>
      <c r="F71" s="7">
        <v>68</v>
      </c>
      <c r="G71" s="27">
        <v>98</v>
      </c>
      <c r="H71" s="7">
        <f t="shared" si="1"/>
        <v>98</v>
      </c>
      <c r="I71" s="7"/>
      <c r="J71" s="7" t="s">
        <v>165</v>
      </c>
    </row>
    <row r="72" spans="1:10" ht="18" customHeight="1">
      <c r="A72" s="7" t="s">
        <v>166</v>
      </c>
      <c r="B72" s="7" t="s">
        <v>167</v>
      </c>
      <c r="C72" s="7" t="s">
        <v>50</v>
      </c>
      <c r="D72" s="7"/>
      <c r="E72" s="7">
        <v>25</v>
      </c>
      <c r="F72" s="7">
        <v>50</v>
      </c>
      <c r="G72" s="27">
        <v>75</v>
      </c>
      <c r="H72" s="7">
        <f t="shared" si="1"/>
        <v>75</v>
      </c>
      <c r="I72" s="7"/>
      <c r="J72" s="7" t="s">
        <v>167</v>
      </c>
    </row>
    <row r="73" spans="1:10" ht="18" customHeight="1">
      <c r="A73" s="7" t="s">
        <v>168</v>
      </c>
      <c r="B73" s="7" t="s">
        <v>169</v>
      </c>
      <c r="C73" s="7" t="s">
        <v>50</v>
      </c>
      <c r="D73" s="7"/>
      <c r="E73" s="7">
        <v>30</v>
      </c>
      <c r="F73" s="7">
        <v>69</v>
      </c>
      <c r="G73" s="27">
        <v>99</v>
      </c>
      <c r="H73" s="7">
        <f t="shared" si="1"/>
        <v>99</v>
      </c>
      <c r="I73" s="7"/>
      <c r="J73" s="7" t="s">
        <v>169</v>
      </c>
    </row>
    <row r="74" spans="1:10" ht="18" customHeight="1">
      <c r="A74" s="7" t="s">
        <v>170</v>
      </c>
      <c r="B74" s="7" t="s">
        <v>171</v>
      </c>
      <c r="C74" s="7" t="s">
        <v>50</v>
      </c>
      <c r="D74" s="7"/>
      <c r="E74" s="7">
        <v>30</v>
      </c>
      <c r="F74" s="7">
        <v>68</v>
      </c>
      <c r="G74" s="27">
        <v>98</v>
      </c>
      <c r="H74" s="7">
        <f t="shared" si="1"/>
        <v>98</v>
      </c>
      <c r="I74" s="7"/>
      <c r="J74" s="7" t="s">
        <v>171</v>
      </c>
    </row>
    <row r="75" spans="1:10" ht="18" customHeight="1">
      <c r="A75" s="7" t="s">
        <v>172</v>
      </c>
      <c r="B75" s="7" t="s">
        <v>173</v>
      </c>
      <c r="C75" s="7" t="s">
        <v>50</v>
      </c>
      <c r="D75" s="7"/>
      <c r="E75" s="7">
        <v>30</v>
      </c>
      <c r="F75" s="7">
        <v>68</v>
      </c>
      <c r="G75" s="27">
        <v>98</v>
      </c>
      <c r="H75" s="7">
        <f t="shared" si="1"/>
        <v>98</v>
      </c>
      <c r="I75" s="7"/>
      <c r="J75" s="7" t="s">
        <v>173</v>
      </c>
    </row>
    <row r="76" spans="1:10" ht="18" customHeight="1">
      <c r="A76" s="7" t="s">
        <v>174</v>
      </c>
      <c r="B76" s="7" t="s">
        <v>175</v>
      </c>
      <c r="C76" s="7" t="s">
        <v>50</v>
      </c>
      <c r="D76" s="7"/>
      <c r="E76" s="7">
        <v>0</v>
      </c>
      <c r="F76" s="7">
        <v>60</v>
      </c>
      <c r="G76" s="27"/>
      <c r="H76" s="7">
        <f t="shared" si="1"/>
        <v>60</v>
      </c>
      <c r="I76" s="9" t="s">
        <v>310</v>
      </c>
      <c r="J76" s="7" t="s">
        <v>175</v>
      </c>
    </row>
    <row r="77" spans="1:10" ht="18" customHeight="1">
      <c r="A77" s="7" t="s">
        <v>176</v>
      </c>
      <c r="B77" s="7" t="s">
        <v>177</v>
      </c>
      <c r="C77" s="7" t="s">
        <v>50</v>
      </c>
      <c r="D77" s="7"/>
      <c r="E77" s="7">
        <v>20</v>
      </c>
      <c r="F77" s="7">
        <v>60</v>
      </c>
      <c r="G77" s="27">
        <v>80</v>
      </c>
      <c r="H77" s="7">
        <f t="shared" si="1"/>
        <v>80</v>
      </c>
      <c r="I77" s="7"/>
      <c r="J77" s="7" t="s">
        <v>177</v>
      </c>
    </row>
    <row r="78" spans="1:10" ht="18" customHeight="1">
      <c r="A78" s="7" t="s">
        <v>178</v>
      </c>
      <c r="B78" s="7" t="s">
        <v>179</v>
      </c>
      <c r="C78" s="7" t="s">
        <v>50</v>
      </c>
      <c r="D78" s="7"/>
      <c r="E78" s="7">
        <v>21</v>
      </c>
      <c r="F78" s="7">
        <v>49</v>
      </c>
      <c r="G78" s="27">
        <v>70</v>
      </c>
      <c r="H78" s="7">
        <f t="shared" si="1"/>
        <v>70</v>
      </c>
      <c r="I78" s="7"/>
      <c r="J78" s="7" t="s">
        <v>179</v>
      </c>
    </row>
    <row r="79" spans="1:10" ht="18" customHeight="1">
      <c r="A79" s="7" t="s">
        <v>180</v>
      </c>
      <c r="B79" s="7" t="s">
        <v>181</v>
      </c>
      <c r="C79" s="7" t="s">
        <v>50</v>
      </c>
      <c r="D79" s="7"/>
      <c r="E79" s="7">
        <v>21</v>
      </c>
      <c r="F79" s="7">
        <v>49</v>
      </c>
      <c r="G79" s="27">
        <v>70</v>
      </c>
      <c r="H79" s="7">
        <f t="shared" si="1"/>
        <v>70</v>
      </c>
      <c r="I79" s="7"/>
      <c r="J79" s="7" t="s">
        <v>181</v>
      </c>
    </row>
    <row r="80" spans="1:10" ht="18" customHeight="1">
      <c r="A80" s="7" t="s">
        <v>182</v>
      </c>
      <c r="B80" s="7" t="s">
        <v>183</v>
      </c>
      <c r="C80" s="7" t="s">
        <v>52</v>
      </c>
      <c r="D80" s="7"/>
      <c r="E80" s="7">
        <v>21</v>
      </c>
      <c r="F80" s="7">
        <v>49</v>
      </c>
      <c r="G80" s="27">
        <v>70</v>
      </c>
      <c r="H80" s="7">
        <f t="shared" si="1"/>
        <v>70</v>
      </c>
      <c r="I80" s="7"/>
      <c r="J80" s="7" t="s">
        <v>183</v>
      </c>
    </row>
    <row r="81" spans="1:10" ht="18" customHeight="1">
      <c r="A81" s="7" t="s">
        <v>184</v>
      </c>
      <c r="B81" s="7" t="s">
        <v>185</v>
      </c>
      <c r="C81" s="7" t="s">
        <v>52</v>
      </c>
      <c r="D81" s="7"/>
      <c r="E81" s="7">
        <v>20</v>
      </c>
      <c r="F81" s="7">
        <v>60</v>
      </c>
      <c r="G81" s="27">
        <v>80</v>
      </c>
      <c r="H81" s="7">
        <f t="shared" si="1"/>
        <v>80</v>
      </c>
      <c r="I81" s="7"/>
      <c r="J81" s="7" t="s">
        <v>185</v>
      </c>
    </row>
    <row r="82" spans="1:10" ht="18" customHeight="1">
      <c r="A82" s="7" t="s">
        <v>186</v>
      </c>
      <c r="B82" s="7" t="s">
        <v>187</v>
      </c>
      <c r="C82" s="7" t="s">
        <v>52</v>
      </c>
      <c r="D82" s="7"/>
      <c r="E82" s="7">
        <v>21</v>
      </c>
      <c r="F82" s="7">
        <v>49</v>
      </c>
      <c r="G82" s="27">
        <v>70</v>
      </c>
      <c r="H82" s="7">
        <f t="shared" si="1"/>
        <v>70</v>
      </c>
      <c r="I82" s="7"/>
      <c r="J82" s="7" t="s">
        <v>187</v>
      </c>
    </row>
    <row r="83" spans="1:10" ht="18" customHeight="1">
      <c r="A83" s="7" t="s">
        <v>188</v>
      </c>
      <c r="B83" s="7" t="s">
        <v>189</v>
      </c>
      <c r="C83" s="7" t="s">
        <v>50</v>
      </c>
      <c r="D83" s="7"/>
      <c r="E83" s="7">
        <v>25</v>
      </c>
      <c r="F83" s="7">
        <v>50</v>
      </c>
      <c r="G83" s="27">
        <v>75</v>
      </c>
      <c r="H83" s="7">
        <f t="shared" si="1"/>
        <v>75</v>
      </c>
      <c r="I83" s="7"/>
      <c r="J83" s="7" t="s">
        <v>189</v>
      </c>
    </row>
    <row r="84" spans="1:10" ht="18" customHeight="1">
      <c r="A84" s="7" t="s">
        <v>190</v>
      </c>
      <c r="B84" s="7" t="s">
        <v>191</v>
      </c>
      <c r="C84" s="7" t="s">
        <v>50</v>
      </c>
      <c r="D84" s="7"/>
      <c r="E84" s="7">
        <v>25</v>
      </c>
      <c r="F84" s="7">
        <v>50</v>
      </c>
      <c r="G84" s="27">
        <v>75</v>
      </c>
      <c r="H84" s="7">
        <f t="shared" si="1"/>
        <v>75</v>
      </c>
      <c r="I84" s="7"/>
      <c r="J84" s="7" t="s">
        <v>191</v>
      </c>
    </row>
    <row r="85" spans="1:10" ht="18" customHeight="1">
      <c r="A85" s="21">
        <v>1810301209</v>
      </c>
      <c r="B85" s="21" t="s">
        <v>192</v>
      </c>
      <c r="C85" s="21" t="s">
        <v>50</v>
      </c>
      <c r="E85" s="7">
        <v>24</v>
      </c>
      <c r="F85" s="7">
        <v>56</v>
      </c>
      <c r="G85" s="27">
        <v>80</v>
      </c>
      <c r="H85" s="7">
        <f t="shared" ref="H85:H119" si="2">E85+F85</f>
        <v>80</v>
      </c>
      <c r="I85" s="7"/>
      <c r="J85" s="21" t="s">
        <v>192</v>
      </c>
    </row>
    <row r="86" spans="1:10" ht="18" customHeight="1">
      <c r="A86" s="7" t="s">
        <v>193</v>
      </c>
      <c r="B86" s="23" t="s">
        <v>194</v>
      </c>
      <c r="C86" s="23" t="s">
        <v>50</v>
      </c>
      <c r="D86" s="7"/>
      <c r="E86" s="7">
        <v>25</v>
      </c>
      <c r="F86" s="7">
        <v>50</v>
      </c>
      <c r="G86" s="27">
        <v>75</v>
      </c>
      <c r="H86" s="7">
        <f t="shared" si="2"/>
        <v>75</v>
      </c>
      <c r="I86" s="1"/>
      <c r="J86" s="23" t="s">
        <v>194</v>
      </c>
    </row>
    <row r="87" spans="1:10" ht="18" customHeight="1">
      <c r="A87" s="7" t="s">
        <v>195</v>
      </c>
      <c r="B87" s="23" t="s">
        <v>196</v>
      </c>
      <c r="C87" s="23" t="s">
        <v>50</v>
      </c>
      <c r="D87" s="7"/>
      <c r="E87" s="7">
        <v>25</v>
      </c>
      <c r="F87" s="7">
        <v>50</v>
      </c>
      <c r="G87" s="27">
        <v>75</v>
      </c>
      <c r="H87" s="7">
        <f t="shared" si="2"/>
        <v>75</v>
      </c>
      <c r="I87" s="1"/>
      <c r="J87" s="23" t="s">
        <v>196</v>
      </c>
    </row>
    <row r="88" spans="1:10" ht="18" customHeight="1">
      <c r="A88" s="18" t="s">
        <v>197</v>
      </c>
      <c r="B88" s="19">
        <v>1810300117</v>
      </c>
      <c r="C88" s="18" t="s">
        <v>198</v>
      </c>
      <c r="D88" s="18" t="s">
        <v>199</v>
      </c>
      <c r="E88" s="7">
        <v>18</v>
      </c>
      <c r="F88" s="7">
        <v>42</v>
      </c>
      <c r="G88" s="27">
        <v>60</v>
      </c>
      <c r="H88" s="7">
        <f t="shared" si="2"/>
        <v>60</v>
      </c>
      <c r="I88" s="18" t="s">
        <v>198</v>
      </c>
    </row>
    <row r="89" spans="1:10" ht="18" customHeight="1">
      <c r="A89" s="18" t="s">
        <v>197</v>
      </c>
      <c r="B89" s="19">
        <v>1810300120</v>
      </c>
      <c r="C89" s="18" t="s">
        <v>200</v>
      </c>
      <c r="D89" s="18" t="s">
        <v>199</v>
      </c>
      <c r="E89" s="7">
        <v>18</v>
      </c>
      <c r="F89" s="7">
        <v>42</v>
      </c>
      <c r="G89" s="27">
        <v>60</v>
      </c>
      <c r="H89" s="7">
        <f t="shared" si="2"/>
        <v>60</v>
      </c>
      <c r="I89" s="18" t="s">
        <v>200</v>
      </c>
    </row>
    <row r="90" spans="1:10" ht="18" customHeight="1">
      <c r="A90" s="18" t="s">
        <v>197</v>
      </c>
      <c r="B90" s="19">
        <v>1810300221</v>
      </c>
      <c r="C90" s="18" t="s">
        <v>201</v>
      </c>
      <c r="D90" s="18" t="s">
        <v>199</v>
      </c>
      <c r="E90" s="7">
        <v>21</v>
      </c>
      <c r="F90" s="7">
        <v>50</v>
      </c>
      <c r="G90" s="27">
        <v>71</v>
      </c>
      <c r="H90" s="7">
        <f t="shared" si="2"/>
        <v>71</v>
      </c>
      <c r="I90" s="18" t="s">
        <v>201</v>
      </c>
    </row>
    <row r="91" spans="1:10" ht="18" customHeight="1">
      <c r="A91" s="18" t="s">
        <v>197</v>
      </c>
      <c r="B91" s="19">
        <v>1810300318</v>
      </c>
      <c r="C91" s="18" t="s">
        <v>202</v>
      </c>
      <c r="D91" s="18" t="s">
        <v>199</v>
      </c>
      <c r="E91" s="7">
        <v>42</v>
      </c>
      <c r="F91" s="7">
        <v>18</v>
      </c>
      <c r="G91" s="27">
        <v>60</v>
      </c>
      <c r="H91" s="7">
        <f t="shared" si="2"/>
        <v>60</v>
      </c>
      <c r="I91" s="18" t="s">
        <v>202</v>
      </c>
    </row>
    <row r="92" spans="1:10" ht="18" customHeight="1">
      <c r="A92" s="18" t="s">
        <v>197</v>
      </c>
      <c r="B92" s="19">
        <v>1810300404</v>
      </c>
      <c r="C92" s="18" t="s">
        <v>203</v>
      </c>
      <c r="D92" s="18" t="s">
        <v>199</v>
      </c>
      <c r="E92" s="7">
        <v>29</v>
      </c>
      <c r="F92" s="7">
        <v>69</v>
      </c>
      <c r="G92" s="27">
        <v>98</v>
      </c>
      <c r="H92" s="7">
        <f t="shared" si="2"/>
        <v>98</v>
      </c>
      <c r="I92" s="18" t="s">
        <v>203</v>
      </c>
    </row>
    <row r="93" spans="1:10" ht="18" customHeight="1">
      <c r="A93" s="18" t="s">
        <v>197</v>
      </c>
      <c r="B93" s="19">
        <v>1810300504</v>
      </c>
      <c r="C93" s="18" t="s">
        <v>204</v>
      </c>
      <c r="D93" s="18" t="s">
        <v>199</v>
      </c>
      <c r="E93" s="7">
        <v>29</v>
      </c>
      <c r="F93" s="7">
        <v>69</v>
      </c>
      <c r="G93" s="27">
        <v>98</v>
      </c>
      <c r="H93" s="7">
        <f t="shared" si="2"/>
        <v>98</v>
      </c>
      <c r="I93" s="18" t="s">
        <v>204</v>
      </c>
    </row>
    <row r="94" spans="1:10" ht="18" customHeight="1">
      <c r="A94" s="18" t="s">
        <v>197</v>
      </c>
      <c r="B94" s="19">
        <v>1810300512</v>
      </c>
      <c r="C94" s="18" t="s">
        <v>205</v>
      </c>
      <c r="D94" s="18" t="s">
        <v>199</v>
      </c>
      <c r="E94" s="7">
        <v>21</v>
      </c>
      <c r="F94" s="7">
        <v>49</v>
      </c>
      <c r="G94" s="27">
        <v>70</v>
      </c>
      <c r="H94" s="7">
        <f t="shared" si="2"/>
        <v>70</v>
      </c>
      <c r="I94" s="18" t="s">
        <v>205</v>
      </c>
    </row>
    <row r="95" spans="1:10" ht="18" customHeight="1">
      <c r="A95" s="18" t="s">
        <v>197</v>
      </c>
      <c r="B95" s="19">
        <v>1810300605</v>
      </c>
      <c r="C95" s="18" t="s">
        <v>206</v>
      </c>
      <c r="D95" s="18" t="s">
        <v>199</v>
      </c>
      <c r="E95" s="7">
        <v>21</v>
      </c>
      <c r="F95" s="7">
        <v>49</v>
      </c>
      <c r="G95" s="27">
        <v>70</v>
      </c>
      <c r="H95" s="7">
        <f t="shared" si="2"/>
        <v>70</v>
      </c>
      <c r="I95" s="18" t="s">
        <v>206</v>
      </c>
    </row>
    <row r="96" spans="1:10" ht="18" customHeight="1">
      <c r="A96" s="18" t="s">
        <v>197</v>
      </c>
      <c r="B96" s="19">
        <v>1810300612</v>
      </c>
      <c r="C96" s="18" t="s">
        <v>207</v>
      </c>
      <c r="D96" s="18" t="s">
        <v>199</v>
      </c>
      <c r="E96" s="7">
        <v>21</v>
      </c>
      <c r="F96" s="7">
        <v>49</v>
      </c>
      <c r="G96" s="27">
        <v>70</v>
      </c>
      <c r="H96" s="7">
        <f t="shared" si="2"/>
        <v>70</v>
      </c>
      <c r="I96" s="18" t="s">
        <v>207</v>
      </c>
    </row>
    <row r="97" spans="1:9" ht="18" customHeight="1">
      <c r="A97" s="18" t="s">
        <v>197</v>
      </c>
      <c r="B97" s="19">
        <v>1810300627</v>
      </c>
      <c r="C97" s="18" t="s">
        <v>313</v>
      </c>
      <c r="D97" s="18" t="s">
        <v>209</v>
      </c>
      <c r="E97" s="7">
        <v>20</v>
      </c>
      <c r="F97" s="7">
        <v>45</v>
      </c>
      <c r="G97" s="27">
        <v>65</v>
      </c>
      <c r="H97" s="7">
        <f t="shared" si="2"/>
        <v>65</v>
      </c>
      <c r="I97" s="18" t="s">
        <v>313</v>
      </c>
    </row>
    <row r="98" spans="1:9" ht="18" customHeight="1">
      <c r="A98" s="18" t="s">
        <v>197</v>
      </c>
      <c r="B98" s="19">
        <v>1810300628</v>
      </c>
      <c r="C98" s="18" t="s">
        <v>210</v>
      </c>
      <c r="D98" s="18" t="s">
        <v>209</v>
      </c>
      <c r="E98" s="7">
        <v>22</v>
      </c>
      <c r="F98" s="7">
        <v>43</v>
      </c>
      <c r="G98" s="27">
        <v>65</v>
      </c>
      <c r="H98" s="7">
        <f t="shared" si="2"/>
        <v>65</v>
      </c>
      <c r="I98" s="18" t="s">
        <v>210</v>
      </c>
    </row>
    <row r="99" spans="1:9" ht="18" customHeight="1">
      <c r="A99" s="18" t="s">
        <v>197</v>
      </c>
      <c r="B99" s="19">
        <v>1810300629</v>
      </c>
      <c r="C99" s="18" t="s">
        <v>211</v>
      </c>
      <c r="D99" s="18" t="s">
        <v>209</v>
      </c>
      <c r="E99" s="7">
        <v>22</v>
      </c>
      <c r="F99" s="7">
        <v>43</v>
      </c>
      <c r="G99" s="27">
        <v>65</v>
      </c>
      <c r="H99" s="7">
        <f t="shared" si="2"/>
        <v>65</v>
      </c>
      <c r="I99" s="18" t="s">
        <v>211</v>
      </c>
    </row>
    <row r="100" spans="1:9" ht="18" customHeight="1">
      <c r="A100" s="18" t="s">
        <v>197</v>
      </c>
      <c r="B100" s="19">
        <v>1810300709</v>
      </c>
      <c r="C100" s="18" t="s">
        <v>212</v>
      </c>
      <c r="D100" s="18" t="s">
        <v>199</v>
      </c>
      <c r="E100" s="7">
        <v>18</v>
      </c>
      <c r="F100" s="7">
        <v>42</v>
      </c>
      <c r="G100" s="27">
        <v>60</v>
      </c>
      <c r="H100" s="7">
        <f t="shared" si="2"/>
        <v>60</v>
      </c>
      <c r="I100" s="18" t="s">
        <v>212</v>
      </c>
    </row>
    <row r="101" spans="1:9" ht="18" customHeight="1">
      <c r="A101" s="18" t="s">
        <v>197</v>
      </c>
      <c r="B101" s="19">
        <v>1810300721</v>
      </c>
      <c r="C101" s="18" t="s">
        <v>213</v>
      </c>
      <c r="D101" s="18" t="s">
        <v>199</v>
      </c>
      <c r="E101" s="7">
        <v>18</v>
      </c>
      <c r="F101" s="7">
        <v>42</v>
      </c>
      <c r="G101" s="27">
        <v>60</v>
      </c>
      <c r="H101" s="7">
        <f t="shared" si="2"/>
        <v>60</v>
      </c>
      <c r="I101" s="18" t="s">
        <v>213</v>
      </c>
    </row>
    <row r="102" spans="1:9" ht="18" customHeight="1">
      <c r="A102" s="27" t="s">
        <v>197</v>
      </c>
      <c r="B102" s="27">
        <v>1810300819</v>
      </c>
      <c r="C102" s="27" t="s">
        <v>214</v>
      </c>
      <c r="D102" s="27" t="s">
        <v>199</v>
      </c>
      <c r="E102" s="27"/>
      <c r="F102" s="27"/>
      <c r="G102" s="27" t="s">
        <v>314</v>
      </c>
      <c r="H102" s="27">
        <f t="shared" si="2"/>
        <v>0</v>
      </c>
      <c r="I102" s="27" t="s">
        <v>214</v>
      </c>
    </row>
    <row r="103" spans="1:9" ht="18" customHeight="1">
      <c r="A103" s="27" t="s">
        <v>197</v>
      </c>
      <c r="B103" s="27">
        <v>1810300932</v>
      </c>
      <c r="C103" s="27" t="s">
        <v>315</v>
      </c>
      <c r="D103" s="27" t="s">
        <v>209</v>
      </c>
      <c r="E103" s="27"/>
      <c r="F103" s="27"/>
      <c r="G103" s="27"/>
      <c r="H103" s="27">
        <f t="shared" si="2"/>
        <v>0</v>
      </c>
      <c r="I103" s="27" t="s">
        <v>315</v>
      </c>
    </row>
    <row r="104" spans="1:9" ht="18" customHeight="1">
      <c r="A104" s="18" t="s">
        <v>197</v>
      </c>
      <c r="B104" s="19">
        <v>1810300916</v>
      </c>
      <c r="C104" s="18" t="s">
        <v>215</v>
      </c>
      <c r="D104" s="18" t="s">
        <v>199</v>
      </c>
      <c r="E104" s="7">
        <v>24</v>
      </c>
      <c r="F104" s="7">
        <v>56</v>
      </c>
      <c r="G104" s="27">
        <v>80</v>
      </c>
      <c r="H104" s="7">
        <f t="shared" si="2"/>
        <v>80</v>
      </c>
      <c r="I104" s="18" t="s">
        <v>215</v>
      </c>
    </row>
    <row r="105" spans="1:9" ht="18" customHeight="1">
      <c r="A105" s="18" t="s">
        <v>197</v>
      </c>
      <c r="B105" s="19">
        <v>1810300920</v>
      </c>
      <c r="C105" s="18" t="s">
        <v>216</v>
      </c>
      <c r="D105" s="18" t="s">
        <v>199</v>
      </c>
      <c r="E105" s="7">
        <v>29</v>
      </c>
      <c r="F105" s="7">
        <v>69</v>
      </c>
      <c r="G105" s="27">
        <v>98</v>
      </c>
      <c r="H105" s="7">
        <f t="shared" si="2"/>
        <v>98</v>
      </c>
      <c r="I105" s="18" t="s">
        <v>216</v>
      </c>
    </row>
    <row r="106" spans="1:9" ht="18" customHeight="1">
      <c r="A106" s="18" t="s">
        <v>197</v>
      </c>
      <c r="B106" s="19">
        <v>1810301019</v>
      </c>
      <c r="C106" s="18" t="s">
        <v>217</v>
      </c>
      <c r="D106" s="18" t="s">
        <v>199</v>
      </c>
      <c r="E106" s="7">
        <v>18</v>
      </c>
      <c r="F106" s="7">
        <v>42</v>
      </c>
      <c r="G106" s="27">
        <v>60</v>
      </c>
      <c r="H106" s="7">
        <f t="shared" si="2"/>
        <v>60</v>
      </c>
      <c r="I106" s="18" t="s">
        <v>217</v>
      </c>
    </row>
    <row r="107" spans="1:9" ht="18" customHeight="1">
      <c r="A107" s="18" t="s">
        <v>197</v>
      </c>
      <c r="B107" s="19">
        <v>1810301001</v>
      </c>
      <c r="C107" s="18" t="s">
        <v>218</v>
      </c>
      <c r="D107" s="18" t="s">
        <v>199</v>
      </c>
      <c r="E107" s="7">
        <v>24</v>
      </c>
      <c r="F107" s="7">
        <v>56</v>
      </c>
      <c r="G107" s="27">
        <v>80</v>
      </c>
      <c r="H107" s="7">
        <f t="shared" si="2"/>
        <v>80</v>
      </c>
      <c r="I107" s="18" t="s">
        <v>218</v>
      </c>
    </row>
    <row r="108" spans="1:9" ht="18" customHeight="1">
      <c r="A108" s="18" t="s">
        <v>197</v>
      </c>
      <c r="B108" s="19">
        <v>1810301002</v>
      </c>
      <c r="C108" s="18" t="s">
        <v>219</v>
      </c>
      <c r="D108" s="18" t="s">
        <v>199</v>
      </c>
      <c r="E108" s="7">
        <v>24</v>
      </c>
      <c r="F108" s="7">
        <v>56</v>
      </c>
      <c r="G108" s="27">
        <v>80</v>
      </c>
      <c r="H108" s="7">
        <f t="shared" si="2"/>
        <v>80</v>
      </c>
      <c r="I108" s="18" t="s">
        <v>219</v>
      </c>
    </row>
    <row r="109" spans="1:9" ht="18" customHeight="1">
      <c r="A109" s="18" t="s">
        <v>197</v>
      </c>
      <c r="B109" s="19">
        <v>1810301005</v>
      </c>
      <c r="C109" s="18" t="s">
        <v>220</v>
      </c>
      <c r="D109" s="18" t="s">
        <v>199</v>
      </c>
      <c r="E109" s="7">
        <v>21</v>
      </c>
      <c r="F109" s="7">
        <v>49</v>
      </c>
      <c r="G109" s="27">
        <v>70</v>
      </c>
      <c r="H109" s="7">
        <f t="shared" si="2"/>
        <v>70</v>
      </c>
      <c r="I109" s="18" t="s">
        <v>220</v>
      </c>
    </row>
    <row r="110" spans="1:9" ht="18" customHeight="1">
      <c r="A110" s="18" t="s">
        <v>197</v>
      </c>
      <c r="B110" s="19">
        <v>1810301015</v>
      </c>
      <c r="C110" s="18" t="s">
        <v>221</v>
      </c>
      <c r="D110" s="18" t="s">
        <v>199</v>
      </c>
      <c r="E110" s="7">
        <v>24</v>
      </c>
      <c r="F110" s="7">
        <v>56</v>
      </c>
      <c r="G110" s="27">
        <v>80</v>
      </c>
      <c r="H110" s="7">
        <f t="shared" si="2"/>
        <v>80</v>
      </c>
      <c r="I110" s="18" t="s">
        <v>221</v>
      </c>
    </row>
    <row r="111" spans="1:9" ht="18" customHeight="1">
      <c r="A111" s="18" t="s">
        <v>197</v>
      </c>
      <c r="B111" s="19">
        <v>1810301020</v>
      </c>
      <c r="C111" s="18" t="s">
        <v>222</v>
      </c>
      <c r="D111" s="18" t="s">
        <v>199</v>
      </c>
      <c r="E111" s="7">
        <v>18</v>
      </c>
      <c r="F111" s="7">
        <v>42</v>
      </c>
      <c r="G111" s="27">
        <v>60</v>
      </c>
      <c r="H111" s="7">
        <f t="shared" si="2"/>
        <v>60</v>
      </c>
      <c r="I111" s="18" t="s">
        <v>222</v>
      </c>
    </row>
    <row r="112" spans="1:9" ht="18" customHeight="1">
      <c r="A112" s="18" t="s">
        <v>197</v>
      </c>
      <c r="B112" s="19">
        <v>1810301128</v>
      </c>
      <c r="C112" s="18" t="s">
        <v>223</v>
      </c>
      <c r="D112" s="18" t="s">
        <v>209</v>
      </c>
      <c r="E112" s="7">
        <v>29</v>
      </c>
      <c r="F112" s="7">
        <v>69</v>
      </c>
      <c r="G112" s="27">
        <v>98</v>
      </c>
      <c r="H112" s="7">
        <f t="shared" si="2"/>
        <v>98</v>
      </c>
      <c r="I112" s="18" t="s">
        <v>223</v>
      </c>
    </row>
    <row r="113" spans="1:9" ht="18" customHeight="1">
      <c r="A113" s="18" t="s">
        <v>197</v>
      </c>
      <c r="B113" s="19">
        <v>1810301107</v>
      </c>
      <c r="C113" s="18" t="s">
        <v>224</v>
      </c>
      <c r="D113" s="18" t="s">
        <v>199</v>
      </c>
      <c r="E113" s="7">
        <v>18</v>
      </c>
      <c r="F113" s="7">
        <v>42</v>
      </c>
      <c r="G113" s="27">
        <v>60</v>
      </c>
      <c r="H113" s="7">
        <f t="shared" si="2"/>
        <v>60</v>
      </c>
      <c r="I113" s="18" t="s">
        <v>224</v>
      </c>
    </row>
    <row r="114" spans="1:9" ht="18" customHeight="1">
      <c r="A114" s="18" t="s">
        <v>197</v>
      </c>
      <c r="B114" s="19">
        <v>1810301110</v>
      </c>
      <c r="C114" s="18" t="s">
        <v>225</v>
      </c>
      <c r="D114" s="18" t="s">
        <v>199</v>
      </c>
      <c r="E114" s="7">
        <v>18</v>
      </c>
      <c r="F114" s="7">
        <v>42</v>
      </c>
      <c r="G114" s="27">
        <v>60</v>
      </c>
      <c r="H114" s="7">
        <f t="shared" si="2"/>
        <v>60</v>
      </c>
      <c r="I114" s="18" t="s">
        <v>225</v>
      </c>
    </row>
    <row r="115" spans="1:9" ht="18" customHeight="1">
      <c r="A115" s="18" t="s">
        <v>197</v>
      </c>
      <c r="B115" s="19">
        <v>1810301117</v>
      </c>
      <c r="C115" s="18" t="s">
        <v>226</v>
      </c>
      <c r="D115" s="18" t="s">
        <v>199</v>
      </c>
      <c r="E115" s="7">
        <v>18</v>
      </c>
      <c r="F115" s="7">
        <v>42</v>
      </c>
      <c r="G115" s="27">
        <v>60</v>
      </c>
      <c r="H115" s="7">
        <f t="shared" si="2"/>
        <v>60</v>
      </c>
      <c r="I115" s="18" t="s">
        <v>226</v>
      </c>
    </row>
    <row r="116" spans="1:9" ht="18" customHeight="1">
      <c r="A116" s="18" t="s">
        <v>197</v>
      </c>
      <c r="B116" s="19">
        <v>1810301202</v>
      </c>
      <c r="C116" s="18" t="s">
        <v>227</v>
      </c>
      <c r="D116" s="18" t="s">
        <v>199</v>
      </c>
      <c r="E116" s="7">
        <v>29</v>
      </c>
      <c r="F116" s="7">
        <v>69</v>
      </c>
      <c r="G116" s="27">
        <v>98</v>
      </c>
      <c r="H116" s="7">
        <f t="shared" si="2"/>
        <v>98</v>
      </c>
      <c r="I116" s="18" t="s">
        <v>227</v>
      </c>
    </row>
    <row r="117" spans="1:9" ht="18" customHeight="1">
      <c r="A117" s="18" t="s">
        <v>197</v>
      </c>
      <c r="B117" s="19">
        <v>1810301205</v>
      </c>
      <c r="C117" s="18" t="s">
        <v>228</v>
      </c>
      <c r="D117" s="18" t="s">
        <v>199</v>
      </c>
      <c r="E117" s="7">
        <v>18</v>
      </c>
      <c r="F117" s="7">
        <v>42</v>
      </c>
      <c r="G117" s="27">
        <v>60</v>
      </c>
      <c r="H117" s="7">
        <f t="shared" si="2"/>
        <v>60</v>
      </c>
      <c r="I117" s="18" t="s">
        <v>228</v>
      </c>
    </row>
    <row r="118" spans="1:9" ht="18" customHeight="1">
      <c r="A118" s="18" t="s">
        <v>197</v>
      </c>
      <c r="B118" s="19">
        <v>1710651207</v>
      </c>
      <c r="C118" s="18" t="s">
        <v>229</v>
      </c>
      <c r="D118" s="18" t="s">
        <v>199</v>
      </c>
      <c r="E118" s="7">
        <v>18</v>
      </c>
      <c r="F118" s="7">
        <v>42</v>
      </c>
      <c r="G118" s="27">
        <v>60</v>
      </c>
      <c r="H118" s="7">
        <f t="shared" si="2"/>
        <v>60</v>
      </c>
      <c r="I118" s="18" t="s">
        <v>229</v>
      </c>
    </row>
    <row r="119" spans="1:9" ht="18" customHeight="1">
      <c r="A119" s="14" t="s">
        <v>231</v>
      </c>
      <c r="B119" s="14" t="s">
        <v>232</v>
      </c>
      <c r="C119" s="14" t="s">
        <v>233</v>
      </c>
      <c r="D119" s="14" t="s">
        <v>50</v>
      </c>
      <c r="E119" s="7">
        <v>18</v>
      </c>
      <c r="F119" s="7">
        <v>42</v>
      </c>
      <c r="G119" s="27">
        <v>60</v>
      </c>
      <c r="H119" s="7">
        <f t="shared" si="2"/>
        <v>60</v>
      </c>
      <c r="I119" s="14" t="s">
        <v>233</v>
      </c>
    </row>
    <row r="120" spans="1:9" ht="18" customHeight="1">
      <c r="A120" s="14" t="s">
        <v>231</v>
      </c>
      <c r="B120" s="14" t="s">
        <v>234</v>
      </c>
      <c r="C120" s="14" t="s">
        <v>235</v>
      </c>
      <c r="D120" s="14" t="s">
        <v>50</v>
      </c>
      <c r="E120" s="7">
        <v>18</v>
      </c>
      <c r="F120" s="7">
        <v>42</v>
      </c>
      <c r="G120" s="27">
        <v>60</v>
      </c>
      <c r="H120" s="7">
        <f t="shared" ref="H120:H148" si="3">E120+F120</f>
        <v>60</v>
      </c>
      <c r="I120" s="14" t="s">
        <v>235</v>
      </c>
    </row>
    <row r="121" spans="1:9" ht="18" customHeight="1">
      <c r="A121" s="14" t="s">
        <v>231</v>
      </c>
      <c r="B121" s="14" t="s">
        <v>236</v>
      </c>
      <c r="C121" s="14" t="s">
        <v>237</v>
      </c>
      <c r="D121" s="14" t="s">
        <v>50</v>
      </c>
      <c r="E121" s="7">
        <v>24</v>
      </c>
      <c r="F121" s="7">
        <v>58</v>
      </c>
      <c r="G121" s="27">
        <v>82</v>
      </c>
      <c r="H121" s="7">
        <f t="shared" si="3"/>
        <v>82</v>
      </c>
      <c r="I121" s="14" t="s">
        <v>237</v>
      </c>
    </row>
    <row r="122" spans="1:9" ht="18" customHeight="1">
      <c r="A122" s="14" t="s">
        <v>231</v>
      </c>
      <c r="B122" s="14" t="s">
        <v>238</v>
      </c>
      <c r="C122" s="14" t="s">
        <v>239</v>
      </c>
      <c r="D122" s="14" t="s">
        <v>50</v>
      </c>
      <c r="E122" s="7">
        <v>18</v>
      </c>
      <c r="F122" s="7">
        <v>42</v>
      </c>
      <c r="G122" s="27">
        <v>60</v>
      </c>
      <c r="H122" s="7">
        <f t="shared" si="3"/>
        <v>60</v>
      </c>
      <c r="I122" s="14" t="s">
        <v>239</v>
      </c>
    </row>
    <row r="123" spans="1:9" ht="18" customHeight="1">
      <c r="A123" s="14" t="s">
        <v>231</v>
      </c>
      <c r="B123" s="14" t="s">
        <v>240</v>
      </c>
      <c r="C123" s="14" t="s">
        <v>241</v>
      </c>
      <c r="D123" s="14" t="s">
        <v>52</v>
      </c>
      <c r="E123" s="7">
        <v>27</v>
      </c>
      <c r="F123" s="7">
        <v>63</v>
      </c>
      <c r="G123" s="27">
        <v>90</v>
      </c>
      <c r="H123" s="7">
        <f t="shared" si="3"/>
        <v>90</v>
      </c>
      <c r="I123" s="14" t="s">
        <v>241</v>
      </c>
    </row>
    <row r="124" spans="1:9" ht="18" customHeight="1">
      <c r="A124" s="14" t="s">
        <v>231</v>
      </c>
      <c r="B124" s="14" t="s">
        <v>242</v>
      </c>
      <c r="C124" s="14" t="s">
        <v>243</v>
      </c>
      <c r="D124" s="14" t="s">
        <v>50</v>
      </c>
      <c r="E124" s="7">
        <v>24</v>
      </c>
      <c r="F124" s="7">
        <v>58</v>
      </c>
      <c r="G124" s="27">
        <v>82</v>
      </c>
      <c r="H124" s="7">
        <f t="shared" si="3"/>
        <v>82</v>
      </c>
      <c r="I124" s="14" t="s">
        <v>243</v>
      </c>
    </row>
    <row r="125" spans="1:9" ht="18" customHeight="1">
      <c r="A125" s="14" t="s">
        <v>231</v>
      </c>
      <c r="B125" s="14" t="s">
        <v>244</v>
      </c>
      <c r="C125" s="14" t="s">
        <v>245</v>
      </c>
      <c r="D125" s="14" t="s">
        <v>52</v>
      </c>
      <c r="E125" s="7">
        <v>27</v>
      </c>
      <c r="F125" s="7">
        <v>63</v>
      </c>
      <c r="G125" s="27">
        <v>90</v>
      </c>
      <c r="H125" s="7">
        <f t="shared" si="3"/>
        <v>90</v>
      </c>
      <c r="I125" s="14" t="s">
        <v>245</v>
      </c>
    </row>
    <row r="126" spans="1:9" ht="18" customHeight="1">
      <c r="A126" s="14" t="s">
        <v>231</v>
      </c>
      <c r="B126" s="14" t="s">
        <v>246</v>
      </c>
      <c r="C126" s="14" t="s">
        <v>247</v>
      </c>
      <c r="D126" s="14" t="s">
        <v>50</v>
      </c>
      <c r="E126" s="7">
        <v>21</v>
      </c>
      <c r="F126" s="7">
        <v>49</v>
      </c>
      <c r="G126" s="27">
        <v>70</v>
      </c>
      <c r="H126" s="7">
        <f t="shared" si="3"/>
        <v>70</v>
      </c>
      <c r="I126" s="14" t="s">
        <v>247</v>
      </c>
    </row>
    <row r="127" spans="1:9" ht="18" customHeight="1">
      <c r="A127" s="14" t="s">
        <v>231</v>
      </c>
      <c r="B127" s="14" t="s">
        <v>248</v>
      </c>
      <c r="C127" s="14" t="s">
        <v>249</v>
      </c>
      <c r="D127" s="14" t="s">
        <v>50</v>
      </c>
      <c r="E127" s="7">
        <v>21</v>
      </c>
      <c r="F127" s="7">
        <v>49</v>
      </c>
      <c r="G127" s="27">
        <v>70</v>
      </c>
      <c r="H127" s="7">
        <f t="shared" si="3"/>
        <v>70</v>
      </c>
      <c r="I127" s="14" t="s">
        <v>249</v>
      </c>
    </row>
    <row r="128" spans="1:9" ht="18" customHeight="1">
      <c r="A128" s="14" t="s">
        <v>231</v>
      </c>
      <c r="B128" s="14" t="s">
        <v>250</v>
      </c>
      <c r="C128" s="14" t="s">
        <v>251</v>
      </c>
      <c r="D128" s="14" t="s">
        <v>50</v>
      </c>
      <c r="E128" s="7">
        <v>21</v>
      </c>
      <c r="F128" s="7">
        <v>49</v>
      </c>
      <c r="G128" s="27">
        <v>70</v>
      </c>
      <c r="H128" s="7">
        <f t="shared" si="3"/>
        <v>70</v>
      </c>
      <c r="I128" s="14" t="s">
        <v>251</v>
      </c>
    </row>
    <row r="129" spans="1:14" ht="18" customHeight="1">
      <c r="A129" s="27" t="s">
        <v>231</v>
      </c>
      <c r="B129" s="27" t="s">
        <v>319</v>
      </c>
      <c r="C129" s="27" t="s">
        <v>320</v>
      </c>
      <c r="D129" s="27" t="s">
        <v>50</v>
      </c>
      <c r="E129" s="27"/>
      <c r="F129" s="27"/>
      <c r="G129" s="27"/>
      <c r="H129" s="27">
        <f t="shared" si="3"/>
        <v>0</v>
      </c>
      <c r="I129" s="27" t="s">
        <v>320</v>
      </c>
    </row>
    <row r="130" spans="1:14" ht="18" customHeight="1">
      <c r="A130" s="7" t="s">
        <v>231</v>
      </c>
      <c r="B130" s="7" t="s">
        <v>252</v>
      </c>
      <c r="C130" s="7" t="s">
        <v>253</v>
      </c>
      <c r="D130" s="7" t="s">
        <v>50</v>
      </c>
      <c r="E130" s="7">
        <v>18</v>
      </c>
      <c r="F130" s="7">
        <v>42</v>
      </c>
      <c r="G130" s="27">
        <v>60</v>
      </c>
      <c r="H130" s="7">
        <f t="shared" si="3"/>
        <v>60</v>
      </c>
      <c r="I130" s="7" t="s">
        <v>253</v>
      </c>
    </row>
    <row r="131" spans="1:14" ht="18" customHeight="1">
      <c r="A131" s="7" t="s">
        <v>231</v>
      </c>
      <c r="B131" s="7" t="s">
        <v>254</v>
      </c>
      <c r="C131" s="7" t="s">
        <v>255</v>
      </c>
      <c r="D131" s="7" t="s">
        <v>50</v>
      </c>
      <c r="E131" s="7">
        <v>18</v>
      </c>
      <c r="F131" s="7">
        <v>42</v>
      </c>
      <c r="G131" s="27">
        <v>60</v>
      </c>
      <c r="H131" s="7">
        <f t="shared" si="3"/>
        <v>60</v>
      </c>
      <c r="I131" s="7" t="s">
        <v>255</v>
      </c>
    </row>
    <row r="132" spans="1:14" ht="18" customHeight="1">
      <c r="A132" s="14" t="s">
        <v>231</v>
      </c>
      <c r="B132" s="14" t="s">
        <v>256</v>
      </c>
      <c r="C132" s="14" t="s">
        <v>257</v>
      </c>
      <c r="D132" s="14" t="s">
        <v>50</v>
      </c>
      <c r="E132" s="7">
        <v>27</v>
      </c>
      <c r="F132" s="7">
        <v>63</v>
      </c>
      <c r="G132" s="27">
        <v>90</v>
      </c>
      <c r="H132" s="7">
        <f t="shared" si="3"/>
        <v>90</v>
      </c>
      <c r="I132" s="14" t="s">
        <v>257</v>
      </c>
      <c r="N132" t="s">
        <v>322</v>
      </c>
    </row>
    <row r="133" spans="1:14" ht="18" customHeight="1">
      <c r="A133" s="14" t="s">
        <v>231</v>
      </c>
      <c r="B133" s="14" t="s">
        <v>258</v>
      </c>
      <c r="C133" s="14" t="s">
        <v>259</v>
      </c>
      <c r="D133" s="14" t="s">
        <v>50</v>
      </c>
      <c r="E133" s="7">
        <v>21</v>
      </c>
      <c r="F133" s="7">
        <v>49</v>
      </c>
      <c r="G133" s="27">
        <v>70</v>
      </c>
      <c r="H133" s="7">
        <f t="shared" si="3"/>
        <v>70</v>
      </c>
      <c r="I133" s="14" t="s">
        <v>259</v>
      </c>
    </row>
    <row r="134" spans="1:14" ht="18" customHeight="1">
      <c r="A134" s="14" t="s">
        <v>231</v>
      </c>
      <c r="B134" s="14" t="s">
        <v>260</v>
      </c>
      <c r="C134" s="14" t="s">
        <v>261</v>
      </c>
      <c r="D134" s="14" t="s">
        <v>50</v>
      </c>
      <c r="E134" s="7">
        <v>21</v>
      </c>
      <c r="F134" s="7">
        <v>49</v>
      </c>
      <c r="G134" s="27">
        <v>70</v>
      </c>
      <c r="H134" s="7">
        <f t="shared" si="3"/>
        <v>70</v>
      </c>
      <c r="I134" s="14" t="s">
        <v>261</v>
      </c>
    </row>
    <row r="135" spans="1:14" ht="18" customHeight="1">
      <c r="A135" s="14" t="s">
        <v>231</v>
      </c>
      <c r="B135" s="14" t="s">
        <v>262</v>
      </c>
      <c r="C135" s="14" t="s">
        <v>263</v>
      </c>
      <c r="D135" s="14" t="s">
        <v>50</v>
      </c>
      <c r="E135" s="7">
        <v>21</v>
      </c>
      <c r="F135" s="7">
        <v>49</v>
      </c>
      <c r="G135" s="27">
        <v>70</v>
      </c>
      <c r="H135" s="7">
        <f t="shared" si="3"/>
        <v>70</v>
      </c>
      <c r="I135" s="14" t="s">
        <v>263</v>
      </c>
    </row>
    <row r="136" spans="1:14" ht="18" customHeight="1">
      <c r="A136" s="14" t="s">
        <v>231</v>
      </c>
      <c r="B136" s="14" t="s">
        <v>264</v>
      </c>
      <c r="C136" s="14" t="s">
        <v>265</v>
      </c>
      <c r="D136" s="14" t="s">
        <v>50</v>
      </c>
      <c r="E136" s="7">
        <v>21</v>
      </c>
      <c r="F136" s="7">
        <v>49</v>
      </c>
      <c r="G136" s="27">
        <v>70</v>
      </c>
      <c r="H136" s="7">
        <f t="shared" si="3"/>
        <v>70</v>
      </c>
      <c r="I136" s="14" t="s">
        <v>265</v>
      </c>
      <c r="N136" t="s">
        <v>323</v>
      </c>
    </row>
    <row r="137" spans="1:14" ht="18" customHeight="1">
      <c r="A137" s="14" t="s">
        <v>231</v>
      </c>
      <c r="B137" s="14" t="s">
        <v>266</v>
      </c>
      <c r="C137" s="14" t="s">
        <v>267</v>
      </c>
      <c r="D137" s="14" t="s">
        <v>52</v>
      </c>
      <c r="E137" s="7">
        <v>27</v>
      </c>
      <c r="F137" s="7">
        <v>63</v>
      </c>
      <c r="G137" s="27">
        <v>90</v>
      </c>
      <c r="H137" s="7">
        <f t="shared" si="3"/>
        <v>90</v>
      </c>
      <c r="I137" s="14" t="s">
        <v>267</v>
      </c>
    </row>
    <row r="138" spans="1:14" ht="18" customHeight="1">
      <c r="A138" s="14" t="s">
        <v>231</v>
      </c>
      <c r="B138" s="14" t="s">
        <v>268</v>
      </c>
      <c r="C138" s="14" t="s">
        <v>269</v>
      </c>
      <c r="D138" s="14" t="s">
        <v>50</v>
      </c>
      <c r="E138" s="7">
        <v>24</v>
      </c>
      <c r="F138" s="7">
        <v>58</v>
      </c>
      <c r="G138" s="27">
        <v>82</v>
      </c>
      <c r="H138" s="7">
        <f t="shared" si="3"/>
        <v>82</v>
      </c>
      <c r="I138" s="14" t="s">
        <v>269</v>
      </c>
    </row>
    <row r="139" spans="1:14" ht="18" customHeight="1">
      <c r="A139" s="14" t="s">
        <v>231</v>
      </c>
      <c r="B139" s="14" t="s">
        <v>270</v>
      </c>
      <c r="C139" s="14" t="s">
        <v>271</v>
      </c>
      <c r="D139" s="14" t="s">
        <v>50</v>
      </c>
      <c r="E139" s="7">
        <v>24</v>
      </c>
      <c r="F139" s="7">
        <v>56</v>
      </c>
      <c r="G139" s="27">
        <v>80</v>
      </c>
      <c r="H139" s="7">
        <f t="shared" si="3"/>
        <v>80</v>
      </c>
      <c r="I139" s="14" t="s">
        <v>271</v>
      </c>
    </row>
    <row r="140" spans="1:14" ht="18" customHeight="1">
      <c r="A140" s="14" t="s">
        <v>231</v>
      </c>
      <c r="B140" s="14" t="s">
        <v>272</v>
      </c>
      <c r="C140" s="14" t="s">
        <v>273</v>
      </c>
      <c r="D140" s="14" t="s">
        <v>50</v>
      </c>
      <c r="E140" s="7">
        <v>24</v>
      </c>
      <c r="F140" s="7">
        <v>56</v>
      </c>
      <c r="G140" s="27">
        <v>80</v>
      </c>
      <c r="H140" s="7">
        <f t="shared" si="3"/>
        <v>80</v>
      </c>
      <c r="I140" s="14" t="s">
        <v>273</v>
      </c>
    </row>
    <row r="141" spans="1:14" ht="18" customHeight="1">
      <c r="A141" s="14" t="s">
        <v>231</v>
      </c>
      <c r="B141" s="14" t="s">
        <v>274</v>
      </c>
      <c r="C141" s="14" t="s">
        <v>275</v>
      </c>
      <c r="D141" s="14" t="s">
        <v>52</v>
      </c>
      <c r="E141" s="7">
        <v>24</v>
      </c>
      <c r="F141" s="7">
        <v>56</v>
      </c>
      <c r="G141" s="27">
        <v>80</v>
      </c>
      <c r="H141" s="7">
        <f t="shared" si="3"/>
        <v>80</v>
      </c>
      <c r="I141" s="14" t="s">
        <v>275</v>
      </c>
    </row>
    <row r="142" spans="1:14" ht="18" customHeight="1">
      <c r="A142" s="14" t="s">
        <v>231</v>
      </c>
      <c r="B142" s="14" t="s">
        <v>276</v>
      </c>
      <c r="C142" s="14" t="s">
        <v>277</v>
      </c>
      <c r="D142" s="14" t="s">
        <v>50</v>
      </c>
      <c r="E142" s="7">
        <v>18</v>
      </c>
      <c r="F142" s="7">
        <v>42</v>
      </c>
      <c r="G142" s="27">
        <v>60</v>
      </c>
      <c r="H142" s="7">
        <f t="shared" si="3"/>
        <v>60</v>
      </c>
      <c r="I142" s="14" t="s">
        <v>277</v>
      </c>
    </row>
    <row r="143" spans="1:14" ht="18" customHeight="1">
      <c r="A143" s="14" t="s">
        <v>231</v>
      </c>
      <c r="B143" s="14" t="s">
        <v>278</v>
      </c>
      <c r="C143" s="14" t="s">
        <v>279</v>
      </c>
      <c r="D143" s="14" t="s">
        <v>50</v>
      </c>
      <c r="E143" s="7">
        <v>29</v>
      </c>
      <c r="F143" s="7">
        <v>69</v>
      </c>
      <c r="G143" s="27">
        <v>98</v>
      </c>
      <c r="H143" s="7">
        <f t="shared" si="3"/>
        <v>98</v>
      </c>
      <c r="I143" s="14" t="s">
        <v>279</v>
      </c>
    </row>
    <row r="144" spans="1:14" ht="18" customHeight="1">
      <c r="A144" s="14" t="s">
        <v>231</v>
      </c>
      <c r="B144" s="14" t="s">
        <v>280</v>
      </c>
      <c r="C144" s="14" t="s">
        <v>281</v>
      </c>
      <c r="D144" s="14" t="s">
        <v>50</v>
      </c>
      <c r="E144" s="7">
        <v>27</v>
      </c>
      <c r="F144" s="7">
        <v>63</v>
      </c>
      <c r="G144" s="27">
        <v>90</v>
      </c>
      <c r="H144" s="7">
        <f t="shared" si="3"/>
        <v>90</v>
      </c>
      <c r="I144" s="14" t="s">
        <v>281</v>
      </c>
    </row>
    <row r="145" spans="1:9" ht="18" customHeight="1">
      <c r="A145" s="14" t="s">
        <v>231</v>
      </c>
      <c r="B145" s="14" t="s">
        <v>282</v>
      </c>
      <c r="C145" s="14" t="s">
        <v>283</v>
      </c>
      <c r="D145" s="14" t="s">
        <v>50</v>
      </c>
      <c r="E145" s="7">
        <v>24</v>
      </c>
      <c r="F145" s="7">
        <v>58</v>
      </c>
      <c r="G145" s="27">
        <v>82</v>
      </c>
      <c r="H145" s="7">
        <f t="shared" si="3"/>
        <v>82</v>
      </c>
      <c r="I145" s="14" t="s">
        <v>283</v>
      </c>
    </row>
    <row r="146" spans="1:9" ht="18" customHeight="1">
      <c r="A146" s="7" t="s">
        <v>231</v>
      </c>
      <c r="B146" s="7" t="s">
        <v>284</v>
      </c>
      <c r="C146" s="7" t="s">
        <v>285</v>
      </c>
      <c r="D146" s="7" t="s">
        <v>50</v>
      </c>
      <c r="E146" s="7">
        <v>21</v>
      </c>
      <c r="F146" s="7">
        <v>49</v>
      </c>
      <c r="G146" s="27">
        <v>70</v>
      </c>
      <c r="H146" s="7">
        <f t="shared" si="3"/>
        <v>70</v>
      </c>
      <c r="I146" s="7" t="s">
        <v>285</v>
      </c>
    </row>
    <row r="147" spans="1:9" ht="18" customHeight="1">
      <c r="A147" s="7" t="s">
        <v>231</v>
      </c>
      <c r="B147" s="7" t="s">
        <v>286</v>
      </c>
      <c r="C147" s="7" t="s">
        <v>287</v>
      </c>
      <c r="D147" s="7" t="s">
        <v>50</v>
      </c>
      <c r="E147" s="7">
        <v>21</v>
      </c>
      <c r="F147" s="7">
        <v>49</v>
      </c>
      <c r="G147" s="27">
        <v>70</v>
      </c>
      <c r="H147" s="7">
        <f t="shared" si="3"/>
        <v>70</v>
      </c>
      <c r="I147" s="7" t="s">
        <v>287</v>
      </c>
    </row>
    <row r="148" spans="1:9" ht="18" customHeight="1">
      <c r="A148" s="7" t="s">
        <v>231</v>
      </c>
      <c r="B148" s="7" t="s">
        <v>288</v>
      </c>
      <c r="C148" s="7" t="s">
        <v>289</v>
      </c>
      <c r="D148" s="7" t="s">
        <v>52</v>
      </c>
      <c r="E148" s="7">
        <v>27</v>
      </c>
      <c r="F148" s="7">
        <v>63</v>
      </c>
      <c r="G148" s="27">
        <v>90</v>
      </c>
      <c r="H148" s="7">
        <f t="shared" si="3"/>
        <v>90</v>
      </c>
      <c r="I148" s="7" t="s">
        <v>289</v>
      </c>
    </row>
    <row r="150" spans="1:9">
      <c r="H150" t="s">
        <v>324</v>
      </c>
      <c r="I150">
        <v>141</v>
      </c>
    </row>
  </sheetData>
  <phoneticPr fontId="18" type="noConversion"/>
  <conditionalFormatting sqref="C119:C128 C132:C145">
    <cfRule type="duplicateValues" dxfId="2" priority="2"/>
  </conditionalFormatting>
  <conditionalFormatting sqref="I119:I128 I132:I145">
    <cfRule type="duplicateValues" dxfId="1" priority="1"/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3"/>
  <sheetViews>
    <sheetView workbookViewId="0">
      <selection activeCell="Q25" sqref="A1:XFD1048576"/>
    </sheetView>
  </sheetViews>
  <sheetFormatPr defaultColWidth="9" defaultRowHeight="13.5"/>
  <cols>
    <col min="1" max="1" width="8.5" customWidth="1"/>
    <col min="2" max="2" width="11.25" customWidth="1"/>
  </cols>
  <sheetData>
    <row r="1" spans="1:15" ht="17.25">
      <c r="A1" s="55" t="s">
        <v>0</v>
      </c>
      <c r="B1" s="56"/>
      <c r="C1" s="55" t="s">
        <v>1</v>
      </c>
      <c r="D1" s="57"/>
      <c r="E1" s="57"/>
      <c r="F1" s="1" t="s">
        <v>2</v>
      </c>
      <c r="G1" s="1" t="s">
        <v>325</v>
      </c>
      <c r="H1" s="1"/>
      <c r="I1" s="1"/>
      <c r="J1" s="1" t="s">
        <v>326</v>
      </c>
      <c r="K1" s="1"/>
      <c r="L1" s="1"/>
      <c r="M1" s="1"/>
      <c r="N1" s="1"/>
      <c r="O1" s="1"/>
    </row>
    <row r="2" spans="1:15" ht="17.25">
      <c r="A2" s="60" t="s">
        <v>4</v>
      </c>
      <c r="B2" s="61"/>
      <c r="C2" s="55" t="s">
        <v>79</v>
      </c>
      <c r="D2" s="57"/>
      <c r="E2" s="57"/>
      <c r="F2" s="1" t="s">
        <v>6</v>
      </c>
      <c r="G2" s="1"/>
      <c r="H2" s="1"/>
      <c r="I2" s="1"/>
      <c r="J2" s="1" t="s">
        <v>7</v>
      </c>
      <c r="K2" s="1" t="s">
        <v>327</v>
      </c>
      <c r="L2" s="1"/>
      <c r="M2" s="1"/>
      <c r="N2" s="1"/>
      <c r="O2" s="1"/>
    </row>
    <row r="3" spans="1:15" ht="16.5">
      <c r="A3" s="63" t="s">
        <v>9</v>
      </c>
      <c r="B3" s="65" t="s">
        <v>10</v>
      </c>
      <c r="C3" s="65" t="s">
        <v>11</v>
      </c>
      <c r="D3" s="65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5" t="s">
        <v>33</v>
      </c>
    </row>
    <row r="4" spans="1:15" ht="17.25">
      <c r="A4" s="64"/>
      <c r="B4" s="66"/>
      <c r="C4" s="66"/>
      <c r="D4" s="67"/>
      <c r="E4" s="10" t="s">
        <v>18</v>
      </c>
      <c r="F4" s="10" t="s">
        <v>19</v>
      </c>
      <c r="G4" s="10" t="s">
        <v>20</v>
      </c>
      <c r="H4" s="10" t="s">
        <v>21</v>
      </c>
      <c r="I4" s="7" t="s">
        <v>22</v>
      </c>
      <c r="J4" s="7" t="s">
        <v>23</v>
      </c>
      <c r="K4" s="7" t="s">
        <v>24</v>
      </c>
      <c r="L4" s="10" t="s">
        <v>34</v>
      </c>
      <c r="M4" s="10" t="s">
        <v>35</v>
      </c>
      <c r="N4" s="10" t="s">
        <v>36</v>
      </c>
      <c r="O4" s="68"/>
    </row>
    <row r="5" spans="1:15" ht="17.25">
      <c r="A5" s="7" t="s">
        <v>80</v>
      </c>
      <c r="B5" s="7" t="s">
        <v>81</v>
      </c>
      <c r="C5" s="7" t="s">
        <v>82</v>
      </c>
      <c r="D5" s="7" t="s">
        <v>50</v>
      </c>
      <c r="E5" s="7">
        <v>75</v>
      </c>
      <c r="F5" s="7">
        <v>75</v>
      </c>
      <c r="G5" s="7">
        <v>70</v>
      </c>
      <c r="H5" s="7">
        <v>75</v>
      </c>
      <c r="I5" s="7">
        <v>95</v>
      </c>
      <c r="J5" s="7">
        <v>95</v>
      </c>
      <c r="K5" s="7">
        <v>95</v>
      </c>
      <c r="L5" s="7">
        <v>100</v>
      </c>
      <c r="M5" s="7">
        <v>100</v>
      </c>
      <c r="N5" s="7">
        <v>100</v>
      </c>
      <c r="O5" s="13">
        <f t="shared" ref="O5:O33" si="0">(AVERAGE(E5:H5)+AVERAGE(I5:K5)+AVERAGE(L5:N5))/3</f>
        <v>89.583333333333329</v>
      </c>
    </row>
    <row r="6" spans="1:15" ht="17.25">
      <c r="A6" s="7" t="s">
        <v>80</v>
      </c>
      <c r="B6" s="7" t="s">
        <v>83</v>
      </c>
      <c r="C6" s="7" t="s">
        <v>84</v>
      </c>
      <c r="D6" s="7" t="s">
        <v>50</v>
      </c>
      <c r="E6" s="7">
        <v>100</v>
      </c>
      <c r="F6" s="7">
        <v>100</v>
      </c>
      <c r="G6" s="7">
        <v>100</v>
      </c>
      <c r="H6" s="7">
        <v>100</v>
      </c>
      <c r="I6" s="7">
        <v>100</v>
      </c>
      <c r="J6" s="7">
        <v>95</v>
      </c>
      <c r="K6" s="7">
        <v>95</v>
      </c>
      <c r="L6" s="7">
        <v>100</v>
      </c>
      <c r="M6" s="7">
        <v>100</v>
      </c>
      <c r="N6" s="7">
        <v>100</v>
      </c>
      <c r="O6" s="13">
        <f t="shared" si="0"/>
        <v>98.8888888888889</v>
      </c>
    </row>
    <row r="7" spans="1:15" ht="17.25">
      <c r="A7" s="7" t="s">
        <v>80</v>
      </c>
      <c r="B7" s="7" t="s">
        <v>85</v>
      </c>
      <c r="C7" s="7" t="s">
        <v>86</v>
      </c>
      <c r="D7" s="7" t="s">
        <v>50</v>
      </c>
      <c r="E7" s="7">
        <v>95</v>
      </c>
      <c r="F7" s="7">
        <v>90</v>
      </c>
      <c r="G7" s="7">
        <v>95</v>
      </c>
      <c r="H7" s="7">
        <v>95</v>
      </c>
      <c r="I7" s="7">
        <v>95</v>
      </c>
      <c r="J7" s="7">
        <v>95</v>
      </c>
      <c r="K7" s="7">
        <v>95</v>
      </c>
      <c r="L7" s="7">
        <v>100</v>
      </c>
      <c r="M7" s="7">
        <v>100</v>
      </c>
      <c r="N7" s="7">
        <v>100</v>
      </c>
      <c r="O7" s="13">
        <f t="shared" si="0"/>
        <v>96.25</v>
      </c>
    </row>
    <row r="8" spans="1:15" ht="17.25">
      <c r="A8" s="7" t="s">
        <v>80</v>
      </c>
      <c r="B8" s="7" t="s">
        <v>87</v>
      </c>
      <c r="C8" s="7" t="s">
        <v>88</v>
      </c>
      <c r="D8" s="7" t="s">
        <v>50</v>
      </c>
      <c r="E8" s="7">
        <v>100</v>
      </c>
      <c r="F8" s="7">
        <v>100</v>
      </c>
      <c r="G8" s="7">
        <v>100</v>
      </c>
      <c r="H8" s="7">
        <v>100</v>
      </c>
      <c r="I8" s="7">
        <v>95</v>
      </c>
      <c r="J8" s="7">
        <v>95</v>
      </c>
      <c r="K8" s="7">
        <v>95</v>
      </c>
      <c r="L8" s="7">
        <v>100</v>
      </c>
      <c r="M8" s="7">
        <v>100</v>
      </c>
      <c r="N8" s="7">
        <v>100</v>
      </c>
      <c r="O8" s="13">
        <f t="shared" si="0"/>
        <v>98.333333333333329</v>
      </c>
    </row>
    <row r="9" spans="1:15" ht="17.25">
      <c r="A9" s="7" t="s">
        <v>80</v>
      </c>
      <c r="B9" s="7" t="s">
        <v>89</v>
      </c>
      <c r="C9" s="7" t="s">
        <v>90</v>
      </c>
      <c r="D9" s="7" t="s">
        <v>50</v>
      </c>
      <c r="E9" s="7">
        <v>80</v>
      </c>
      <c r="F9" s="7">
        <v>80</v>
      </c>
      <c r="G9" s="7">
        <v>85</v>
      </c>
      <c r="H9" s="7">
        <v>80</v>
      </c>
      <c r="I9" s="7">
        <v>100</v>
      </c>
      <c r="J9" s="7">
        <v>95</v>
      </c>
      <c r="K9" s="7">
        <v>95</v>
      </c>
      <c r="L9" s="7">
        <v>100</v>
      </c>
      <c r="M9" s="7">
        <v>90</v>
      </c>
      <c r="N9" s="7">
        <v>90</v>
      </c>
      <c r="O9" s="13">
        <f t="shared" si="0"/>
        <v>90.416666666666671</v>
      </c>
    </row>
    <row r="10" spans="1:15" ht="17.25">
      <c r="A10" s="7" t="s">
        <v>80</v>
      </c>
      <c r="B10" s="7" t="s">
        <v>91</v>
      </c>
      <c r="C10" s="7" t="s">
        <v>92</v>
      </c>
      <c r="D10" s="7" t="s">
        <v>52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  <c r="J10" s="7">
        <v>100</v>
      </c>
      <c r="K10" s="7">
        <v>100</v>
      </c>
      <c r="L10" s="7">
        <v>100</v>
      </c>
      <c r="M10" s="7">
        <v>100</v>
      </c>
      <c r="N10" s="7">
        <v>100</v>
      </c>
      <c r="O10" s="13">
        <f t="shared" si="0"/>
        <v>100</v>
      </c>
    </row>
    <row r="11" spans="1:15" ht="17.25">
      <c r="A11" s="7" t="s">
        <v>80</v>
      </c>
      <c r="B11" s="7" t="s">
        <v>93</v>
      </c>
      <c r="C11" s="7" t="s">
        <v>94</v>
      </c>
      <c r="D11" s="7" t="s">
        <v>50</v>
      </c>
      <c r="E11" s="7">
        <v>95</v>
      </c>
      <c r="F11" s="7">
        <v>90</v>
      </c>
      <c r="G11" s="7">
        <v>90</v>
      </c>
      <c r="H11" s="7">
        <v>90</v>
      </c>
      <c r="I11" s="7">
        <v>95</v>
      </c>
      <c r="J11" s="7">
        <v>95</v>
      </c>
      <c r="K11" s="7">
        <v>95</v>
      </c>
      <c r="L11" s="7">
        <v>100</v>
      </c>
      <c r="M11" s="7">
        <v>100</v>
      </c>
      <c r="N11" s="7">
        <v>100</v>
      </c>
      <c r="O11" s="13">
        <f t="shared" si="0"/>
        <v>95.416666666666671</v>
      </c>
    </row>
    <row r="12" spans="1:15" ht="17.25">
      <c r="A12" s="24" t="s">
        <v>80</v>
      </c>
      <c r="B12" s="7" t="s">
        <v>95</v>
      </c>
      <c r="C12" s="7" t="s">
        <v>96</v>
      </c>
      <c r="D12" s="7" t="s">
        <v>50</v>
      </c>
      <c r="E12" s="7">
        <v>90</v>
      </c>
      <c r="F12" s="7">
        <v>85</v>
      </c>
      <c r="G12" s="7">
        <v>80</v>
      </c>
      <c r="H12" s="7">
        <v>80</v>
      </c>
      <c r="I12" s="7">
        <v>95</v>
      </c>
      <c r="J12" s="7">
        <v>95</v>
      </c>
      <c r="K12" s="7">
        <v>95</v>
      </c>
      <c r="L12" s="7">
        <v>100</v>
      </c>
      <c r="M12" s="7">
        <v>100</v>
      </c>
      <c r="N12" s="7">
        <v>100</v>
      </c>
      <c r="O12" s="13">
        <f t="shared" si="0"/>
        <v>92.916666666666671</v>
      </c>
    </row>
    <row r="13" spans="1:15" ht="17.25">
      <c r="A13" s="24" t="s">
        <v>80</v>
      </c>
      <c r="B13" s="7" t="s">
        <v>97</v>
      </c>
      <c r="C13" s="7" t="s">
        <v>98</v>
      </c>
      <c r="D13" s="7" t="s">
        <v>50</v>
      </c>
      <c r="E13" s="7">
        <v>90</v>
      </c>
      <c r="F13" s="7">
        <v>85</v>
      </c>
      <c r="G13" s="7">
        <v>90</v>
      </c>
      <c r="H13" s="7">
        <v>90</v>
      </c>
      <c r="I13" s="7">
        <v>90</v>
      </c>
      <c r="J13" s="7">
        <v>95</v>
      </c>
      <c r="K13" s="7">
        <v>95</v>
      </c>
      <c r="L13" s="7">
        <v>100</v>
      </c>
      <c r="M13" s="7">
        <v>100</v>
      </c>
      <c r="N13" s="7">
        <v>100</v>
      </c>
      <c r="O13" s="13">
        <f t="shared" si="0"/>
        <v>94.027777777777771</v>
      </c>
    </row>
    <row r="14" spans="1:15" ht="17.25">
      <c r="A14" s="24" t="s">
        <v>80</v>
      </c>
      <c r="B14" s="7" t="s">
        <v>99</v>
      </c>
      <c r="C14" s="9" t="s">
        <v>100</v>
      </c>
      <c r="D14" s="7" t="s">
        <v>50</v>
      </c>
      <c r="E14" s="7">
        <v>90</v>
      </c>
      <c r="F14" s="7">
        <v>75</v>
      </c>
      <c r="G14" s="7">
        <v>80</v>
      </c>
      <c r="H14" s="7">
        <v>80</v>
      </c>
      <c r="I14" s="7">
        <v>70</v>
      </c>
      <c r="J14" s="7">
        <v>95</v>
      </c>
      <c r="K14" s="7">
        <v>95</v>
      </c>
      <c r="L14" s="7">
        <v>100</v>
      </c>
      <c r="M14" s="7">
        <v>100</v>
      </c>
      <c r="N14" s="7">
        <v>100</v>
      </c>
      <c r="O14" s="13">
        <f t="shared" si="0"/>
        <v>89.305555555555557</v>
      </c>
    </row>
    <row r="15" spans="1:15" ht="17.25">
      <c r="A15" s="24" t="s">
        <v>80</v>
      </c>
      <c r="B15" s="7" t="s">
        <v>101</v>
      </c>
      <c r="C15" s="7" t="s">
        <v>102</v>
      </c>
      <c r="D15" s="7" t="s">
        <v>50</v>
      </c>
      <c r="E15" s="7">
        <v>80</v>
      </c>
      <c r="F15" s="7">
        <v>85</v>
      </c>
      <c r="G15" s="7">
        <v>85</v>
      </c>
      <c r="H15" s="7">
        <v>80</v>
      </c>
      <c r="I15" s="7">
        <v>95</v>
      </c>
      <c r="J15" s="7">
        <v>95</v>
      </c>
      <c r="K15" s="7">
        <v>95</v>
      </c>
      <c r="L15" s="7">
        <v>100</v>
      </c>
      <c r="M15" s="7">
        <v>100</v>
      </c>
      <c r="N15" s="7">
        <v>100</v>
      </c>
      <c r="O15" s="13">
        <f t="shared" si="0"/>
        <v>92.5</v>
      </c>
    </row>
    <row r="16" spans="1:15" ht="17.25">
      <c r="A16" s="24" t="s">
        <v>80</v>
      </c>
      <c r="B16" s="7" t="s">
        <v>103</v>
      </c>
      <c r="C16" s="7" t="s">
        <v>104</v>
      </c>
      <c r="D16" s="7" t="s">
        <v>50</v>
      </c>
      <c r="E16" s="20">
        <v>0</v>
      </c>
      <c r="F16" s="20">
        <v>0</v>
      </c>
      <c r="G16" s="20">
        <v>0</v>
      </c>
      <c r="H16" s="20">
        <v>0</v>
      </c>
      <c r="I16" s="7">
        <v>90</v>
      </c>
      <c r="J16" s="7">
        <v>95</v>
      </c>
      <c r="K16" s="7">
        <v>95</v>
      </c>
      <c r="L16" s="20">
        <v>100</v>
      </c>
      <c r="M16" s="20">
        <v>100</v>
      </c>
      <c r="N16" s="20">
        <v>100</v>
      </c>
      <c r="O16" s="13">
        <f t="shared" si="0"/>
        <v>64.444444444444443</v>
      </c>
    </row>
    <row r="17" spans="1:15" ht="17.25">
      <c r="A17" s="24" t="s">
        <v>80</v>
      </c>
      <c r="B17" s="7" t="s">
        <v>105</v>
      </c>
      <c r="C17" s="7" t="s">
        <v>106</v>
      </c>
      <c r="D17" s="7" t="s">
        <v>52</v>
      </c>
      <c r="E17" s="7">
        <v>85</v>
      </c>
      <c r="F17" s="7">
        <v>80</v>
      </c>
      <c r="G17" s="7">
        <v>80</v>
      </c>
      <c r="H17" s="7">
        <v>80</v>
      </c>
      <c r="I17" s="7">
        <v>95</v>
      </c>
      <c r="J17" s="7">
        <v>95</v>
      </c>
      <c r="K17" s="7">
        <v>95</v>
      </c>
      <c r="L17" s="7">
        <v>100</v>
      </c>
      <c r="M17" s="7">
        <v>100</v>
      </c>
      <c r="N17" s="7">
        <v>100</v>
      </c>
      <c r="O17" s="13">
        <f t="shared" si="0"/>
        <v>92.083333333333329</v>
      </c>
    </row>
    <row r="18" spans="1:15" ht="17.25">
      <c r="A18" s="24" t="s">
        <v>80</v>
      </c>
      <c r="B18" s="7" t="s">
        <v>107</v>
      </c>
      <c r="C18" s="7" t="s">
        <v>108</v>
      </c>
      <c r="D18" s="7" t="s">
        <v>52</v>
      </c>
      <c r="E18" s="7">
        <v>80</v>
      </c>
      <c r="F18" s="7">
        <v>80</v>
      </c>
      <c r="G18" s="7">
        <v>80</v>
      </c>
      <c r="H18" s="7">
        <v>75</v>
      </c>
      <c r="I18" s="7">
        <v>90</v>
      </c>
      <c r="J18" s="7">
        <v>95</v>
      </c>
      <c r="K18" s="7">
        <v>95</v>
      </c>
      <c r="L18" s="7">
        <v>100</v>
      </c>
      <c r="M18" s="7">
        <v>100</v>
      </c>
      <c r="N18" s="7">
        <v>100</v>
      </c>
      <c r="O18" s="13">
        <f t="shared" si="0"/>
        <v>90.694444444444443</v>
      </c>
    </row>
    <row r="19" spans="1:15" ht="17.25">
      <c r="A19" s="24" t="s">
        <v>80</v>
      </c>
      <c r="B19" s="7" t="s">
        <v>109</v>
      </c>
      <c r="C19" s="7" t="s">
        <v>110</v>
      </c>
      <c r="D19" s="7" t="s">
        <v>50</v>
      </c>
      <c r="E19" s="7">
        <v>95</v>
      </c>
      <c r="F19" s="7">
        <v>90</v>
      </c>
      <c r="G19" s="7">
        <v>90</v>
      </c>
      <c r="H19" s="7">
        <v>90</v>
      </c>
      <c r="I19" s="7">
        <v>95</v>
      </c>
      <c r="J19" s="7">
        <v>95</v>
      </c>
      <c r="K19" s="7">
        <v>95</v>
      </c>
      <c r="L19" s="7">
        <v>100</v>
      </c>
      <c r="M19" s="7">
        <v>100</v>
      </c>
      <c r="N19" s="7">
        <v>100</v>
      </c>
      <c r="O19" s="13">
        <f t="shared" si="0"/>
        <v>95.416666666666671</v>
      </c>
    </row>
    <row r="20" spans="1:15" ht="17.25">
      <c r="A20" s="24" t="s">
        <v>80</v>
      </c>
      <c r="B20" s="7" t="s">
        <v>111</v>
      </c>
      <c r="C20" s="7" t="s">
        <v>112</v>
      </c>
      <c r="D20" s="7" t="s">
        <v>50</v>
      </c>
      <c r="E20" s="7">
        <v>95</v>
      </c>
      <c r="F20" s="7">
        <v>85</v>
      </c>
      <c r="G20" s="7">
        <v>80</v>
      </c>
      <c r="H20" s="7">
        <v>80</v>
      </c>
      <c r="I20" s="7">
        <v>100</v>
      </c>
      <c r="J20" s="7">
        <v>95</v>
      </c>
      <c r="K20" s="7">
        <v>95</v>
      </c>
      <c r="L20" s="7">
        <v>100</v>
      </c>
      <c r="M20" s="7">
        <v>100</v>
      </c>
      <c r="N20" s="7">
        <v>100</v>
      </c>
      <c r="O20" s="13">
        <f t="shared" si="0"/>
        <v>93.8888888888889</v>
      </c>
    </row>
    <row r="21" spans="1:15" ht="17.25">
      <c r="A21" s="24" t="s">
        <v>80</v>
      </c>
      <c r="B21" s="7" t="s">
        <v>113</v>
      </c>
      <c r="C21" s="7" t="s">
        <v>114</v>
      </c>
      <c r="D21" s="7" t="s">
        <v>50</v>
      </c>
      <c r="E21" s="7">
        <v>90</v>
      </c>
      <c r="F21" s="7">
        <v>85</v>
      </c>
      <c r="G21" s="7">
        <v>80</v>
      </c>
      <c r="H21" s="7">
        <v>80</v>
      </c>
      <c r="I21" s="7">
        <v>95</v>
      </c>
      <c r="J21" s="7">
        <v>95</v>
      </c>
      <c r="K21" s="7">
        <v>95</v>
      </c>
      <c r="L21" s="7">
        <v>100</v>
      </c>
      <c r="M21" s="7">
        <v>100</v>
      </c>
      <c r="N21" s="7">
        <v>100</v>
      </c>
      <c r="O21" s="13">
        <f t="shared" si="0"/>
        <v>92.916666666666671</v>
      </c>
    </row>
    <row r="22" spans="1:15" ht="17.25">
      <c r="A22" s="24" t="s">
        <v>80</v>
      </c>
      <c r="B22" s="7" t="s">
        <v>115</v>
      </c>
      <c r="C22" s="7" t="s">
        <v>116</v>
      </c>
      <c r="D22" s="7" t="s">
        <v>50</v>
      </c>
      <c r="E22" s="7">
        <v>80</v>
      </c>
      <c r="F22" s="7">
        <v>80</v>
      </c>
      <c r="G22" s="7">
        <v>80</v>
      </c>
      <c r="H22" s="7">
        <v>75</v>
      </c>
      <c r="I22" s="7">
        <v>95</v>
      </c>
      <c r="J22" s="7">
        <v>95</v>
      </c>
      <c r="K22" s="7">
        <v>95</v>
      </c>
      <c r="L22" s="7">
        <v>100</v>
      </c>
      <c r="M22" s="7">
        <v>100</v>
      </c>
      <c r="N22" s="7">
        <v>100</v>
      </c>
      <c r="O22" s="13">
        <f t="shared" si="0"/>
        <v>91.25</v>
      </c>
    </row>
    <row r="23" spans="1:15" ht="17.25">
      <c r="A23" s="24" t="s">
        <v>80</v>
      </c>
      <c r="B23" s="7" t="s">
        <v>117</v>
      </c>
      <c r="C23" s="7" t="s">
        <v>118</v>
      </c>
      <c r="D23" s="7" t="s">
        <v>50</v>
      </c>
      <c r="E23" s="7">
        <v>75</v>
      </c>
      <c r="F23" s="7">
        <v>85</v>
      </c>
      <c r="G23" s="7">
        <v>80</v>
      </c>
      <c r="H23" s="7">
        <v>80</v>
      </c>
      <c r="I23" s="7">
        <v>95</v>
      </c>
      <c r="J23" s="7">
        <v>95</v>
      </c>
      <c r="K23" s="7">
        <v>95</v>
      </c>
      <c r="L23" s="7">
        <v>100</v>
      </c>
      <c r="M23" s="7">
        <v>100</v>
      </c>
      <c r="N23" s="7">
        <v>100</v>
      </c>
      <c r="O23" s="13">
        <f t="shared" si="0"/>
        <v>91.666666666666671</v>
      </c>
    </row>
    <row r="24" spans="1:15" ht="17.25">
      <c r="A24" s="24" t="s">
        <v>80</v>
      </c>
      <c r="B24" s="7" t="s">
        <v>119</v>
      </c>
      <c r="C24" s="7" t="s">
        <v>120</v>
      </c>
      <c r="D24" s="7" t="s">
        <v>50</v>
      </c>
      <c r="E24" s="7">
        <v>90</v>
      </c>
      <c r="F24" s="7">
        <v>85</v>
      </c>
      <c r="G24" s="7">
        <v>80</v>
      </c>
      <c r="H24" s="7">
        <v>90</v>
      </c>
      <c r="I24" s="7">
        <v>100</v>
      </c>
      <c r="J24" s="7">
        <v>95</v>
      </c>
      <c r="K24" s="7">
        <v>95</v>
      </c>
      <c r="L24" s="7">
        <v>100</v>
      </c>
      <c r="M24" s="7">
        <v>100</v>
      </c>
      <c r="N24" s="7">
        <v>100</v>
      </c>
      <c r="O24" s="13">
        <f t="shared" si="0"/>
        <v>94.305555555555557</v>
      </c>
    </row>
    <row r="25" spans="1:15" ht="17.25">
      <c r="A25" s="24" t="s">
        <v>80</v>
      </c>
      <c r="B25" s="7" t="s">
        <v>121</v>
      </c>
      <c r="C25" s="7" t="s">
        <v>122</v>
      </c>
      <c r="D25" s="7" t="s">
        <v>50</v>
      </c>
      <c r="E25" s="7">
        <v>80</v>
      </c>
      <c r="F25" s="7">
        <v>80</v>
      </c>
      <c r="G25" s="7">
        <v>80</v>
      </c>
      <c r="H25" s="7">
        <v>80</v>
      </c>
      <c r="I25" s="7">
        <v>85</v>
      </c>
      <c r="J25" s="7">
        <v>95</v>
      </c>
      <c r="K25" s="7">
        <v>95</v>
      </c>
      <c r="L25" s="7">
        <v>100</v>
      </c>
      <c r="M25" s="7">
        <v>100</v>
      </c>
      <c r="N25" s="7">
        <v>100</v>
      </c>
      <c r="O25" s="13">
        <f t="shared" si="0"/>
        <v>90.555555555555557</v>
      </c>
    </row>
    <row r="26" spans="1:15" ht="17.25">
      <c r="A26" s="24" t="s">
        <v>80</v>
      </c>
      <c r="B26" s="7" t="s">
        <v>123</v>
      </c>
      <c r="C26" s="7" t="s">
        <v>124</v>
      </c>
      <c r="D26" s="7" t="s">
        <v>50</v>
      </c>
      <c r="E26" s="7">
        <v>80</v>
      </c>
      <c r="F26" s="7">
        <v>80</v>
      </c>
      <c r="G26" s="7">
        <v>85</v>
      </c>
      <c r="H26" s="7">
        <v>95</v>
      </c>
      <c r="I26" s="7">
        <v>85</v>
      </c>
      <c r="J26" s="7">
        <v>95</v>
      </c>
      <c r="K26" s="7">
        <v>95</v>
      </c>
      <c r="L26" s="7">
        <v>100</v>
      </c>
      <c r="M26" s="7">
        <v>100</v>
      </c>
      <c r="N26" s="7">
        <v>100</v>
      </c>
      <c r="O26" s="13">
        <f t="shared" si="0"/>
        <v>92.222222222222229</v>
      </c>
    </row>
    <row r="27" spans="1:15" ht="17.25">
      <c r="A27" s="24" t="s">
        <v>80</v>
      </c>
      <c r="B27" s="7" t="s">
        <v>125</v>
      </c>
      <c r="C27" s="7" t="s">
        <v>126</v>
      </c>
      <c r="D27" s="7" t="s">
        <v>50</v>
      </c>
      <c r="E27" s="7">
        <v>85</v>
      </c>
      <c r="F27" s="7">
        <v>100</v>
      </c>
      <c r="G27" s="7">
        <v>85</v>
      </c>
      <c r="H27" s="7">
        <v>95</v>
      </c>
      <c r="I27" s="7">
        <v>80</v>
      </c>
      <c r="J27" s="7">
        <v>95</v>
      </c>
      <c r="K27" s="7">
        <v>95</v>
      </c>
      <c r="L27" s="7">
        <v>100</v>
      </c>
      <c r="M27" s="7">
        <v>100</v>
      </c>
      <c r="N27" s="7">
        <v>100</v>
      </c>
      <c r="O27" s="13">
        <f t="shared" si="0"/>
        <v>93.75</v>
      </c>
    </row>
    <row r="28" spans="1:15" ht="17.25">
      <c r="A28" s="24" t="s">
        <v>80</v>
      </c>
      <c r="B28" s="7" t="s">
        <v>127</v>
      </c>
      <c r="C28" s="7" t="s">
        <v>128</v>
      </c>
      <c r="D28" s="7" t="s">
        <v>52</v>
      </c>
      <c r="E28" s="7">
        <v>95</v>
      </c>
      <c r="F28" s="7">
        <v>90</v>
      </c>
      <c r="G28" s="7">
        <v>90</v>
      </c>
      <c r="H28" s="7">
        <v>100</v>
      </c>
      <c r="I28" s="7">
        <v>100</v>
      </c>
      <c r="J28" s="7">
        <v>100</v>
      </c>
      <c r="K28" s="7">
        <v>100</v>
      </c>
      <c r="L28" s="7">
        <v>100</v>
      </c>
      <c r="M28" s="7">
        <v>100</v>
      </c>
      <c r="N28" s="7">
        <v>100</v>
      </c>
      <c r="O28" s="13">
        <f t="shared" si="0"/>
        <v>97.916666666666671</v>
      </c>
    </row>
    <row r="29" spans="1:15" ht="17.25">
      <c r="A29" s="24" t="s">
        <v>80</v>
      </c>
      <c r="B29" s="7" t="s">
        <v>129</v>
      </c>
      <c r="C29" s="7" t="s">
        <v>130</v>
      </c>
      <c r="D29" s="7" t="s">
        <v>50</v>
      </c>
      <c r="E29" s="7">
        <v>100</v>
      </c>
      <c r="F29" s="7">
        <v>100</v>
      </c>
      <c r="G29" s="7">
        <v>100</v>
      </c>
      <c r="H29" s="7">
        <v>90</v>
      </c>
      <c r="I29" s="7">
        <v>90</v>
      </c>
      <c r="J29" s="7">
        <v>95</v>
      </c>
      <c r="K29" s="7">
        <v>95</v>
      </c>
      <c r="L29" s="7">
        <v>100</v>
      </c>
      <c r="M29" s="7">
        <v>100</v>
      </c>
      <c r="N29" s="7">
        <v>100</v>
      </c>
      <c r="O29" s="13">
        <f t="shared" si="0"/>
        <v>96.944444444444443</v>
      </c>
    </row>
    <row r="30" spans="1:15" ht="17.25">
      <c r="A30" s="24" t="s">
        <v>80</v>
      </c>
      <c r="B30" s="7" t="s">
        <v>131</v>
      </c>
      <c r="C30" s="7" t="s">
        <v>132</v>
      </c>
      <c r="D30" s="7" t="s">
        <v>50</v>
      </c>
      <c r="E30" s="7">
        <v>80</v>
      </c>
      <c r="F30" s="7">
        <v>85</v>
      </c>
      <c r="G30" s="7">
        <v>80</v>
      </c>
      <c r="H30" s="7">
        <v>85</v>
      </c>
      <c r="I30" s="7">
        <v>85</v>
      </c>
      <c r="J30" s="7">
        <v>95</v>
      </c>
      <c r="K30" s="7">
        <v>95</v>
      </c>
      <c r="L30" s="7">
        <v>100</v>
      </c>
      <c r="M30" s="7">
        <v>100</v>
      </c>
      <c r="N30" s="7">
        <v>100</v>
      </c>
      <c r="O30" s="13">
        <f t="shared" si="0"/>
        <v>91.3888888888889</v>
      </c>
    </row>
    <row r="31" spans="1:15" ht="17.25">
      <c r="A31" s="7" t="s">
        <v>80</v>
      </c>
      <c r="B31" s="7" t="s">
        <v>133</v>
      </c>
      <c r="C31" s="7" t="s">
        <v>134</v>
      </c>
      <c r="D31" s="7" t="s">
        <v>52</v>
      </c>
      <c r="E31" s="7">
        <v>90</v>
      </c>
      <c r="F31" s="7">
        <v>90</v>
      </c>
      <c r="G31" s="7">
        <v>90</v>
      </c>
      <c r="H31" s="7">
        <v>90</v>
      </c>
      <c r="I31" s="7">
        <v>95</v>
      </c>
      <c r="J31" s="7">
        <v>95</v>
      </c>
      <c r="K31" s="7">
        <v>95</v>
      </c>
      <c r="L31" s="7">
        <v>100</v>
      </c>
      <c r="M31" s="7">
        <v>100</v>
      </c>
      <c r="N31" s="7">
        <v>100</v>
      </c>
      <c r="O31" s="13">
        <f t="shared" si="0"/>
        <v>95</v>
      </c>
    </row>
    <row r="32" spans="1:15" ht="17.25">
      <c r="A32" s="7" t="s">
        <v>80</v>
      </c>
      <c r="B32" s="7" t="s">
        <v>135</v>
      </c>
      <c r="C32" s="7" t="s">
        <v>136</v>
      </c>
      <c r="D32" s="7" t="s">
        <v>50</v>
      </c>
      <c r="E32" s="7">
        <v>100</v>
      </c>
      <c r="F32" s="7">
        <v>100</v>
      </c>
      <c r="G32" s="7">
        <v>90</v>
      </c>
      <c r="H32" s="7">
        <v>90</v>
      </c>
      <c r="I32" s="7">
        <v>95</v>
      </c>
      <c r="J32" s="7">
        <v>95</v>
      </c>
      <c r="K32" s="7">
        <v>95</v>
      </c>
      <c r="L32" s="7">
        <v>100</v>
      </c>
      <c r="M32" s="7">
        <v>100</v>
      </c>
      <c r="N32" s="7">
        <v>100</v>
      </c>
      <c r="O32" s="13">
        <f t="shared" si="0"/>
        <v>96.666666666666671</v>
      </c>
    </row>
    <row r="33" spans="1:15" ht="17.25">
      <c r="A33" s="7" t="s">
        <v>80</v>
      </c>
      <c r="B33" s="7" t="s">
        <v>137</v>
      </c>
      <c r="C33" s="7" t="s">
        <v>138</v>
      </c>
      <c r="D33" s="7" t="s">
        <v>50</v>
      </c>
      <c r="E33" s="7">
        <v>75</v>
      </c>
      <c r="F33" s="7">
        <v>85</v>
      </c>
      <c r="G33" s="7">
        <v>100</v>
      </c>
      <c r="H33" s="7">
        <v>95</v>
      </c>
      <c r="I33" s="7">
        <v>90</v>
      </c>
      <c r="J33" s="7">
        <v>95</v>
      </c>
      <c r="K33" s="7">
        <v>95</v>
      </c>
      <c r="L33" s="7">
        <v>100</v>
      </c>
      <c r="M33" s="7">
        <v>100</v>
      </c>
      <c r="N33" s="7">
        <v>100</v>
      </c>
      <c r="O33" s="13">
        <f t="shared" si="0"/>
        <v>94.027777777777771</v>
      </c>
    </row>
  </sheetData>
  <mergeCells count="9">
    <mergeCell ref="O3:O4"/>
    <mergeCell ref="A1:B1"/>
    <mergeCell ref="C1:E1"/>
    <mergeCell ref="A2:B2"/>
    <mergeCell ref="C2:E2"/>
    <mergeCell ref="A3:A4"/>
    <mergeCell ref="B3:B4"/>
    <mergeCell ref="C3:C4"/>
    <mergeCell ref="D3:D4"/>
  </mergeCells>
  <phoneticPr fontId="18" type="noConversion"/>
  <pageMargins left="0.75" right="0.75" top="1" bottom="1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workbookViewId="0">
      <selection activeCell="T29" sqref="A1:XFD1048576"/>
    </sheetView>
  </sheetViews>
  <sheetFormatPr defaultColWidth="9" defaultRowHeight="13.5"/>
  <cols>
    <col min="1" max="1" width="9.5" customWidth="1"/>
    <col min="2" max="2" width="11" customWidth="1"/>
    <col min="3" max="3" width="8" customWidth="1"/>
    <col min="4" max="4" width="6.625" customWidth="1"/>
    <col min="5" max="15" width="8.375" customWidth="1"/>
  </cols>
  <sheetData>
    <row r="1" spans="1:15" ht="17.25">
      <c r="A1" s="55" t="s">
        <v>0</v>
      </c>
      <c r="B1" s="56"/>
      <c r="C1" s="55" t="s">
        <v>1</v>
      </c>
      <c r="D1" s="57"/>
      <c r="E1" s="57"/>
      <c r="F1" s="58" t="s">
        <v>25</v>
      </c>
      <c r="G1" s="59"/>
      <c r="H1" s="59"/>
      <c r="I1" s="59"/>
      <c r="J1" s="55" t="s">
        <v>26</v>
      </c>
      <c r="K1" s="55"/>
      <c r="L1" s="55"/>
      <c r="M1" s="1"/>
      <c r="N1" s="1"/>
      <c r="O1" s="1"/>
    </row>
    <row r="2" spans="1:15" ht="14.25">
      <c r="A2" s="99" t="s">
        <v>4</v>
      </c>
      <c r="B2" s="99"/>
      <c r="C2" s="98" t="s">
        <v>79</v>
      </c>
      <c r="D2" s="98"/>
      <c r="E2" s="98"/>
      <c r="F2" s="69" t="s">
        <v>6</v>
      </c>
      <c r="G2" s="70"/>
      <c r="H2" s="70"/>
      <c r="I2" s="70"/>
      <c r="J2" s="72" t="s">
        <v>328</v>
      </c>
      <c r="K2" s="73"/>
      <c r="L2" s="73"/>
      <c r="M2" s="1"/>
      <c r="N2" s="1"/>
      <c r="O2" s="1"/>
    </row>
    <row r="3" spans="1:15" ht="14.25">
      <c r="A3" s="99"/>
      <c r="B3" s="99"/>
      <c r="C3" s="98"/>
      <c r="D3" s="98"/>
      <c r="E3" s="98"/>
      <c r="F3" s="71"/>
      <c r="G3" s="71"/>
      <c r="H3" s="71"/>
      <c r="I3" s="71"/>
      <c r="J3" s="73"/>
      <c r="K3" s="73"/>
      <c r="L3" s="73"/>
      <c r="M3" s="1"/>
      <c r="N3" s="1"/>
      <c r="O3" s="1"/>
    </row>
    <row r="4" spans="1:15" ht="33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5" t="s">
        <v>33</v>
      </c>
    </row>
    <row r="5" spans="1:15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68"/>
    </row>
    <row r="6" spans="1:15" ht="17.25">
      <c r="A6" s="7" t="s">
        <v>139</v>
      </c>
      <c r="B6" s="7" t="s">
        <v>140</v>
      </c>
      <c r="C6" s="7" t="s">
        <v>141</v>
      </c>
      <c r="D6" s="7" t="s">
        <v>50</v>
      </c>
      <c r="E6" s="7">
        <v>85</v>
      </c>
      <c r="F6" s="7">
        <v>90</v>
      </c>
      <c r="G6" s="7">
        <v>0</v>
      </c>
      <c r="H6" s="7">
        <v>90</v>
      </c>
      <c r="I6" s="7">
        <v>95</v>
      </c>
      <c r="J6" s="7">
        <v>95</v>
      </c>
      <c r="K6" s="7">
        <v>95</v>
      </c>
      <c r="L6" s="7">
        <v>100</v>
      </c>
      <c r="M6" s="7">
        <v>100</v>
      </c>
      <c r="N6" s="7">
        <v>100</v>
      </c>
      <c r="O6" s="13">
        <f t="shared" ref="O6:O34" si="0">(AVERAGE(E6:H6)+AVERAGE(I6:K6)+AVERAGE(L6:N6))/3</f>
        <v>87.083333333333329</v>
      </c>
    </row>
    <row r="7" spans="1:15" ht="17.25">
      <c r="A7" s="7" t="s">
        <v>139</v>
      </c>
      <c r="B7" s="7" t="s">
        <v>142</v>
      </c>
      <c r="C7" s="7" t="s">
        <v>143</v>
      </c>
      <c r="D7" s="7" t="s">
        <v>50</v>
      </c>
      <c r="E7" s="7">
        <v>90</v>
      </c>
      <c r="F7" s="7">
        <v>90</v>
      </c>
      <c r="G7" s="7">
        <v>90</v>
      </c>
      <c r="H7" s="7">
        <v>90</v>
      </c>
      <c r="I7" s="7">
        <v>100</v>
      </c>
      <c r="J7" s="7">
        <v>95</v>
      </c>
      <c r="K7" s="7">
        <v>95</v>
      </c>
      <c r="L7" s="7">
        <v>100</v>
      </c>
      <c r="M7" s="7">
        <v>100</v>
      </c>
      <c r="N7" s="7">
        <v>100</v>
      </c>
      <c r="O7" s="13">
        <f t="shared" si="0"/>
        <v>95.555555555555557</v>
      </c>
    </row>
    <row r="8" spans="1:15" ht="17.25">
      <c r="A8" s="7" t="s">
        <v>139</v>
      </c>
      <c r="B8" s="7" t="s">
        <v>144</v>
      </c>
      <c r="C8" s="7" t="s">
        <v>145</v>
      </c>
      <c r="D8" s="7" t="s">
        <v>50</v>
      </c>
      <c r="E8" s="7">
        <v>90</v>
      </c>
      <c r="F8" s="7">
        <v>85</v>
      </c>
      <c r="G8" s="7">
        <v>85</v>
      </c>
      <c r="H8" s="7">
        <v>85</v>
      </c>
      <c r="I8" s="7">
        <v>90</v>
      </c>
      <c r="J8" s="7">
        <v>95</v>
      </c>
      <c r="K8" s="7">
        <v>95</v>
      </c>
      <c r="L8" s="7">
        <v>100</v>
      </c>
      <c r="M8" s="7">
        <v>100</v>
      </c>
      <c r="N8" s="7">
        <v>100</v>
      </c>
      <c r="O8" s="13">
        <f t="shared" si="0"/>
        <v>93.194444444444443</v>
      </c>
    </row>
    <row r="9" spans="1:15" ht="17.25">
      <c r="A9" s="7" t="s">
        <v>139</v>
      </c>
      <c r="B9" s="7" t="s">
        <v>146</v>
      </c>
      <c r="C9" s="7" t="s">
        <v>147</v>
      </c>
      <c r="D9" s="7" t="s">
        <v>50</v>
      </c>
      <c r="E9" s="7">
        <v>90</v>
      </c>
      <c r="F9" s="7">
        <v>90</v>
      </c>
      <c r="G9" s="7">
        <v>90</v>
      </c>
      <c r="H9" s="7">
        <v>90</v>
      </c>
      <c r="I9" s="7">
        <v>95</v>
      </c>
      <c r="J9" s="7">
        <v>95</v>
      </c>
      <c r="K9" s="7">
        <v>95</v>
      </c>
      <c r="L9" s="7">
        <v>100</v>
      </c>
      <c r="M9" s="7">
        <v>100</v>
      </c>
      <c r="N9" s="7">
        <v>100</v>
      </c>
      <c r="O9" s="13">
        <f t="shared" si="0"/>
        <v>95</v>
      </c>
    </row>
    <row r="10" spans="1:15" ht="17.25">
      <c r="A10" s="7" t="s">
        <v>139</v>
      </c>
      <c r="B10" s="7" t="s">
        <v>148</v>
      </c>
      <c r="C10" s="7" t="s">
        <v>149</v>
      </c>
      <c r="D10" s="7" t="s">
        <v>50</v>
      </c>
      <c r="E10" s="7">
        <v>95</v>
      </c>
      <c r="F10" s="7">
        <v>100</v>
      </c>
      <c r="G10" s="7">
        <v>95</v>
      </c>
      <c r="H10" s="7">
        <v>95</v>
      </c>
      <c r="I10" s="7">
        <v>100</v>
      </c>
      <c r="J10" s="7">
        <v>95</v>
      </c>
      <c r="K10" s="7">
        <v>95</v>
      </c>
      <c r="L10" s="7">
        <v>100</v>
      </c>
      <c r="M10" s="7">
        <v>100</v>
      </c>
      <c r="N10" s="7">
        <v>100</v>
      </c>
      <c r="O10" s="13">
        <f t="shared" si="0"/>
        <v>97.6388888888889</v>
      </c>
    </row>
    <row r="11" spans="1:15" ht="17.25">
      <c r="A11" s="7" t="s">
        <v>139</v>
      </c>
      <c r="B11" s="7" t="s">
        <v>150</v>
      </c>
      <c r="C11" s="7" t="s">
        <v>151</v>
      </c>
      <c r="D11" s="7" t="s">
        <v>52</v>
      </c>
      <c r="E11" s="7">
        <v>95</v>
      </c>
      <c r="F11" s="7">
        <v>100</v>
      </c>
      <c r="G11" s="7">
        <v>95</v>
      </c>
      <c r="H11" s="7">
        <v>85</v>
      </c>
      <c r="I11" s="7">
        <v>90</v>
      </c>
      <c r="J11" s="7">
        <v>95</v>
      </c>
      <c r="K11" s="7">
        <v>95</v>
      </c>
      <c r="L11" s="7">
        <v>100</v>
      </c>
      <c r="M11" s="7">
        <v>100</v>
      </c>
      <c r="N11" s="7">
        <v>100</v>
      </c>
      <c r="O11" s="13">
        <f t="shared" si="0"/>
        <v>95.694444444444443</v>
      </c>
    </row>
    <row r="12" spans="1:15" ht="17.25">
      <c r="A12" s="7" t="s">
        <v>139</v>
      </c>
      <c r="B12" s="7" t="s">
        <v>152</v>
      </c>
      <c r="C12" s="7" t="s">
        <v>153</v>
      </c>
      <c r="D12" s="7" t="s">
        <v>50</v>
      </c>
      <c r="E12" s="7">
        <v>90</v>
      </c>
      <c r="F12" s="7">
        <v>90</v>
      </c>
      <c r="G12" s="7">
        <v>90</v>
      </c>
      <c r="H12" s="7">
        <v>85</v>
      </c>
      <c r="I12" s="7">
        <v>100</v>
      </c>
      <c r="J12" s="7">
        <v>100</v>
      </c>
      <c r="K12" s="7">
        <v>100</v>
      </c>
      <c r="L12" s="7">
        <v>100</v>
      </c>
      <c r="M12" s="7">
        <v>100</v>
      </c>
      <c r="N12" s="7">
        <v>100</v>
      </c>
      <c r="O12" s="13">
        <f t="shared" si="0"/>
        <v>96.25</v>
      </c>
    </row>
    <row r="13" spans="1:15" ht="17.25">
      <c r="A13" s="7" t="s">
        <v>139</v>
      </c>
      <c r="B13" s="7" t="s">
        <v>154</v>
      </c>
      <c r="C13" s="7" t="s">
        <v>155</v>
      </c>
      <c r="D13" s="7" t="s">
        <v>50</v>
      </c>
      <c r="E13" s="7">
        <v>85</v>
      </c>
      <c r="F13" s="7">
        <v>85</v>
      </c>
      <c r="G13" s="7">
        <v>90</v>
      </c>
      <c r="H13" s="7">
        <v>90</v>
      </c>
      <c r="I13" s="7">
        <v>95</v>
      </c>
      <c r="J13" s="7">
        <v>95</v>
      </c>
      <c r="K13" s="7">
        <v>95</v>
      </c>
      <c r="L13" s="7">
        <v>100</v>
      </c>
      <c r="M13" s="7">
        <v>100</v>
      </c>
      <c r="N13" s="7">
        <v>100</v>
      </c>
      <c r="O13" s="13">
        <f t="shared" si="0"/>
        <v>94.166666666666671</v>
      </c>
    </row>
    <row r="14" spans="1:15" ht="17.25">
      <c r="A14" s="7" t="s">
        <v>139</v>
      </c>
      <c r="B14" s="7" t="s">
        <v>156</v>
      </c>
      <c r="C14" s="9" t="s">
        <v>157</v>
      </c>
      <c r="D14" s="7" t="s">
        <v>52</v>
      </c>
      <c r="E14" s="7">
        <v>100</v>
      </c>
      <c r="F14" s="7">
        <v>100</v>
      </c>
      <c r="G14" s="7">
        <v>100</v>
      </c>
      <c r="H14" s="7">
        <v>95</v>
      </c>
      <c r="I14" s="7">
        <v>95</v>
      </c>
      <c r="J14" s="7">
        <v>95</v>
      </c>
      <c r="K14" s="7">
        <v>95</v>
      </c>
      <c r="L14" s="7">
        <v>100</v>
      </c>
      <c r="M14" s="7">
        <v>100</v>
      </c>
      <c r="N14" s="7">
        <v>100</v>
      </c>
      <c r="O14" s="13">
        <f t="shared" si="0"/>
        <v>97.916666666666671</v>
      </c>
    </row>
    <row r="15" spans="1:15" ht="17.25">
      <c r="A15" s="7" t="s">
        <v>139</v>
      </c>
      <c r="B15" s="7" t="s">
        <v>158</v>
      </c>
      <c r="C15" s="7" t="s">
        <v>159</v>
      </c>
      <c r="D15" s="7" t="s">
        <v>50</v>
      </c>
      <c r="E15" s="7">
        <v>95</v>
      </c>
      <c r="F15" s="7">
        <v>95</v>
      </c>
      <c r="G15" s="7">
        <v>0</v>
      </c>
      <c r="H15" s="7">
        <v>90</v>
      </c>
      <c r="I15" s="7">
        <v>90</v>
      </c>
      <c r="J15" s="7">
        <v>95</v>
      </c>
      <c r="K15" s="7">
        <v>95</v>
      </c>
      <c r="L15" s="7">
        <v>100</v>
      </c>
      <c r="M15" s="7">
        <v>100</v>
      </c>
      <c r="N15" s="7">
        <v>100</v>
      </c>
      <c r="O15" s="13">
        <f t="shared" si="0"/>
        <v>87.777777777777771</v>
      </c>
    </row>
    <row r="16" spans="1:15" ht="17.25">
      <c r="A16" s="7" t="s">
        <v>139</v>
      </c>
      <c r="B16" s="7" t="s">
        <v>160</v>
      </c>
      <c r="C16" s="7" t="s">
        <v>161</v>
      </c>
      <c r="D16" s="7" t="s">
        <v>50</v>
      </c>
      <c r="E16" s="7">
        <v>95</v>
      </c>
      <c r="F16" s="7">
        <v>100</v>
      </c>
      <c r="G16" s="7">
        <v>90</v>
      </c>
      <c r="H16" s="7">
        <v>95</v>
      </c>
      <c r="I16" s="7">
        <v>90</v>
      </c>
      <c r="J16" s="7">
        <v>95</v>
      </c>
      <c r="K16" s="7">
        <v>95</v>
      </c>
      <c r="L16" s="7">
        <v>100</v>
      </c>
      <c r="M16" s="7">
        <v>100</v>
      </c>
      <c r="N16" s="7">
        <v>100</v>
      </c>
      <c r="O16" s="13">
        <f t="shared" si="0"/>
        <v>96.1111111111111</v>
      </c>
    </row>
    <row r="17" spans="1:15" ht="17.25">
      <c r="A17" s="7" t="s">
        <v>139</v>
      </c>
      <c r="B17" s="7" t="s">
        <v>162</v>
      </c>
      <c r="C17" s="7" t="s">
        <v>163</v>
      </c>
      <c r="D17" s="7" t="s">
        <v>50</v>
      </c>
      <c r="E17" s="7">
        <v>100</v>
      </c>
      <c r="F17" s="7">
        <v>90</v>
      </c>
      <c r="G17" s="7">
        <v>85</v>
      </c>
      <c r="H17" s="7">
        <v>85</v>
      </c>
      <c r="I17" s="7">
        <v>90</v>
      </c>
      <c r="J17" s="7">
        <v>95</v>
      </c>
      <c r="K17" s="7">
        <v>95</v>
      </c>
      <c r="L17" s="7">
        <v>90</v>
      </c>
      <c r="M17" s="7">
        <v>100</v>
      </c>
      <c r="N17" s="7">
        <v>100</v>
      </c>
      <c r="O17" s="13">
        <f t="shared" si="0"/>
        <v>93.333333333333329</v>
      </c>
    </row>
    <row r="18" spans="1:15" ht="17.25">
      <c r="A18" s="7" t="s">
        <v>139</v>
      </c>
      <c r="B18" s="7" t="s">
        <v>164</v>
      </c>
      <c r="C18" s="7" t="s">
        <v>165</v>
      </c>
      <c r="D18" s="7" t="s">
        <v>50</v>
      </c>
      <c r="E18" s="7">
        <v>95</v>
      </c>
      <c r="F18" s="7">
        <v>100</v>
      </c>
      <c r="G18" s="7">
        <v>100</v>
      </c>
      <c r="H18" s="7">
        <v>95</v>
      </c>
      <c r="I18" s="7">
        <v>90</v>
      </c>
      <c r="J18" s="7">
        <v>95</v>
      </c>
      <c r="K18" s="7">
        <v>95</v>
      </c>
      <c r="L18" s="7">
        <v>100</v>
      </c>
      <c r="M18" s="7">
        <v>100</v>
      </c>
      <c r="N18" s="7">
        <v>100</v>
      </c>
      <c r="O18" s="13">
        <f t="shared" si="0"/>
        <v>96.944444444444443</v>
      </c>
    </row>
    <row r="19" spans="1:15" ht="17.25">
      <c r="A19" s="7" t="s">
        <v>139</v>
      </c>
      <c r="B19" s="7" t="s">
        <v>166</v>
      </c>
      <c r="C19" s="7" t="s">
        <v>167</v>
      </c>
      <c r="D19" s="7" t="s">
        <v>50</v>
      </c>
      <c r="E19" s="7">
        <v>95</v>
      </c>
      <c r="F19" s="7">
        <v>85</v>
      </c>
      <c r="G19" s="7">
        <v>85</v>
      </c>
      <c r="H19" s="7">
        <v>90</v>
      </c>
      <c r="I19" s="7">
        <v>100</v>
      </c>
      <c r="J19" s="7">
        <v>95</v>
      </c>
      <c r="K19" s="7">
        <v>100</v>
      </c>
      <c r="L19" s="7">
        <v>100</v>
      </c>
      <c r="M19" s="7">
        <v>100</v>
      </c>
      <c r="N19" s="7">
        <v>100</v>
      </c>
      <c r="O19" s="13">
        <f t="shared" si="0"/>
        <v>95.694444444444443</v>
      </c>
    </row>
    <row r="20" spans="1:15" ht="17.25">
      <c r="A20" s="7" t="s">
        <v>139</v>
      </c>
      <c r="B20" s="7" t="s">
        <v>168</v>
      </c>
      <c r="C20" s="7" t="s">
        <v>169</v>
      </c>
      <c r="D20" s="7" t="s">
        <v>50</v>
      </c>
      <c r="E20" s="7">
        <v>95</v>
      </c>
      <c r="F20" s="7">
        <v>90</v>
      </c>
      <c r="G20" s="7">
        <v>85</v>
      </c>
      <c r="H20" s="7">
        <v>90</v>
      </c>
      <c r="I20" s="7">
        <v>95</v>
      </c>
      <c r="J20" s="7">
        <v>95</v>
      </c>
      <c r="K20" s="7">
        <v>95</v>
      </c>
      <c r="L20" s="7">
        <v>100</v>
      </c>
      <c r="M20" s="7">
        <v>100</v>
      </c>
      <c r="N20" s="7">
        <v>100</v>
      </c>
      <c r="O20" s="13">
        <f t="shared" si="0"/>
        <v>95</v>
      </c>
    </row>
    <row r="21" spans="1:15" ht="17.25">
      <c r="A21" s="7" t="s">
        <v>139</v>
      </c>
      <c r="B21" s="7" t="s">
        <v>170</v>
      </c>
      <c r="C21" s="7" t="s">
        <v>171</v>
      </c>
      <c r="D21" s="7" t="s">
        <v>50</v>
      </c>
      <c r="E21" s="7">
        <v>85</v>
      </c>
      <c r="F21" s="7">
        <v>90</v>
      </c>
      <c r="G21" s="7">
        <v>85</v>
      </c>
      <c r="H21" s="7">
        <v>80</v>
      </c>
      <c r="I21" s="7">
        <v>85</v>
      </c>
      <c r="J21" s="7">
        <v>100</v>
      </c>
      <c r="K21" s="7">
        <v>95</v>
      </c>
      <c r="L21" s="7">
        <v>90</v>
      </c>
      <c r="M21" s="7">
        <v>100</v>
      </c>
      <c r="N21" s="7">
        <v>100</v>
      </c>
      <c r="O21" s="13">
        <f t="shared" si="0"/>
        <v>91.666666666666671</v>
      </c>
    </row>
    <row r="22" spans="1:15" ht="17.25">
      <c r="A22" s="7" t="s">
        <v>139</v>
      </c>
      <c r="B22" s="7" t="s">
        <v>172</v>
      </c>
      <c r="C22" s="7" t="s">
        <v>173</v>
      </c>
      <c r="D22" s="7" t="s">
        <v>50</v>
      </c>
      <c r="E22" s="7">
        <v>85</v>
      </c>
      <c r="F22" s="7">
        <v>85</v>
      </c>
      <c r="G22" s="7">
        <v>85</v>
      </c>
      <c r="H22" s="7">
        <v>80</v>
      </c>
      <c r="I22" s="7">
        <v>90</v>
      </c>
      <c r="J22" s="7">
        <v>95</v>
      </c>
      <c r="K22" s="7">
        <v>95</v>
      </c>
      <c r="L22" s="7">
        <v>90</v>
      </c>
      <c r="M22" s="7">
        <v>100</v>
      </c>
      <c r="N22" s="7">
        <v>100</v>
      </c>
      <c r="O22" s="13">
        <f t="shared" si="0"/>
        <v>91.25</v>
      </c>
    </row>
    <row r="23" spans="1:15" ht="17.25">
      <c r="A23" s="7" t="s">
        <v>139</v>
      </c>
      <c r="B23" s="7" t="s">
        <v>174</v>
      </c>
      <c r="C23" s="7" t="s">
        <v>175</v>
      </c>
      <c r="D23" s="7" t="s">
        <v>50</v>
      </c>
      <c r="E23" s="7">
        <v>85</v>
      </c>
      <c r="F23" s="7">
        <v>85</v>
      </c>
      <c r="G23" s="7">
        <v>85</v>
      </c>
      <c r="H23" s="7">
        <v>90</v>
      </c>
      <c r="I23" s="7">
        <v>95</v>
      </c>
      <c r="J23" s="7">
        <v>95</v>
      </c>
      <c r="K23" s="7">
        <v>95</v>
      </c>
      <c r="L23" s="7">
        <v>100</v>
      </c>
      <c r="M23" s="7">
        <v>100</v>
      </c>
      <c r="N23" s="7">
        <v>100</v>
      </c>
      <c r="O23" s="13">
        <f t="shared" si="0"/>
        <v>93.75</v>
      </c>
    </row>
    <row r="24" spans="1:15" ht="17.25">
      <c r="A24" s="7" t="s">
        <v>139</v>
      </c>
      <c r="B24" s="7" t="s">
        <v>176</v>
      </c>
      <c r="C24" s="7" t="s">
        <v>177</v>
      </c>
      <c r="D24" s="7" t="s">
        <v>50</v>
      </c>
      <c r="E24" s="7">
        <v>90</v>
      </c>
      <c r="F24" s="7">
        <v>90</v>
      </c>
      <c r="G24" s="7">
        <v>90</v>
      </c>
      <c r="H24" s="7">
        <v>90</v>
      </c>
      <c r="I24" s="7">
        <v>90</v>
      </c>
      <c r="J24" s="7">
        <v>95</v>
      </c>
      <c r="K24" s="7">
        <v>95</v>
      </c>
      <c r="L24" s="7">
        <v>100</v>
      </c>
      <c r="M24" s="7">
        <v>100</v>
      </c>
      <c r="N24" s="7">
        <v>100</v>
      </c>
      <c r="O24" s="13">
        <f t="shared" si="0"/>
        <v>94.444444444444443</v>
      </c>
    </row>
    <row r="25" spans="1:15" ht="17.25">
      <c r="A25" s="7" t="s">
        <v>139</v>
      </c>
      <c r="B25" s="7" t="s">
        <v>178</v>
      </c>
      <c r="C25" s="7" t="s">
        <v>179</v>
      </c>
      <c r="D25" s="7" t="s">
        <v>50</v>
      </c>
      <c r="E25" s="7">
        <v>85</v>
      </c>
      <c r="F25" s="7">
        <v>85</v>
      </c>
      <c r="G25" s="7">
        <v>85</v>
      </c>
      <c r="H25" s="7">
        <v>90</v>
      </c>
      <c r="I25" s="7">
        <v>90</v>
      </c>
      <c r="J25" s="7">
        <v>95</v>
      </c>
      <c r="K25" s="7">
        <v>95</v>
      </c>
      <c r="L25" s="7">
        <v>100</v>
      </c>
      <c r="M25" s="7">
        <v>100</v>
      </c>
      <c r="N25" s="7">
        <v>100</v>
      </c>
      <c r="O25" s="13">
        <f t="shared" si="0"/>
        <v>93.194444444444443</v>
      </c>
    </row>
    <row r="26" spans="1:15" ht="17.25">
      <c r="A26" s="7" t="s">
        <v>139</v>
      </c>
      <c r="B26" s="7" t="s">
        <v>180</v>
      </c>
      <c r="C26" s="7" t="s">
        <v>181</v>
      </c>
      <c r="D26" s="7" t="s">
        <v>50</v>
      </c>
      <c r="E26" s="7">
        <v>95</v>
      </c>
      <c r="F26" s="7">
        <v>90</v>
      </c>
      <c r="G26" s="7">
        <v>90</v>
      </c>
      <c r="H26" s="7">
        <v>90</v>
      </c>
      <c r="I26" s="7">
        <v>95</v>
      </c>
      <c r="J26" s="7">
        <v>95</v>
      </c>
      <c r="K26" s="7">
        <v>95</v>
      </c>
      <c r="L26" s="7">
        <v>100</v>
      </c>
      <c r="M26" s="7">
        <v>100</v>
      </c>
      <c r="N26" s="7">
        <v>100</v>
      </c>
      <c r="O26" s="13">
        <f t="shared" si="0"/>
        <v>95.416666666666671</v>
      </c>
    </row>
    <row r="27" spans="1:15" ht="17.25">
      <c r="A27" s="7" t="s">
        <v>139</v>
      </c>
      <c r="B27" s="7" t="s">
        <v>182</v>
      </c>
      <c r="C27" s="7" t="s">
        <v>183</v>
      </c>
      <c r="D27" s="7" t="s">
        <v>52</v>
      </c>
      <c r="E27" s="7">
        <v>95</v>
      </c>
      <c r="F27" s="7">
        <v>90</v>
      </c>
      <c r="G27" s="7">
        <v>95</v>
      </c>
      <c r="H27" s="7">
        <v>95</v>
      </c>
      <c r="I27" s="7">
        <v>90</v>
      </c>
      <c r="J27" s="7">
        <v>95</v>
      </c>
      <c r="K27" s="7">
        <v>100</v>
      </c>
      <c r="L27" s="7">
        <v>100</v>
      </c>
      <c r="M27" s="7">
        <v>100</v>
      </c>
      <c r="N27" s="7">
        <v>100</v>
      </c>
      <c r="O27" s="13">
        <f t="shared" si="0"/>
        <v>96.25</v>
      </c>
    </row>
    <row r="28" spans="1:15" ht="17.25">
      <c r="A28" s="7" t="s">
        <v>139</v>
      </c>
      <c r="B28" s="7" t="s">
        <v>184</v>
      </c>
      <c r="C28" s="7" t="s">
        <v>185</v>
      </c>
      <c r="D28" s="7" t="s">
        <v>52</v>
      </c>
      <c r="E28" s="7">
        <v>95</v>
      </c>
      <c r="F28" s="7">
        <v>95</v>
      </c>
      <c r="G28" s="7">
        <v>85</v>
      </c>
      <c r="H28" s="7">
        <v>90</v>
      </c>
      <c r="I28" s="7">
        <v>95</v>
      </c>
      <c r="J28" s="7">
        <v>95</v>
      </c>
      <c r="K28" s="7">
        <v>95</v>
      </c>
      <c r="L28" s="7">
        <v>100</v>
      </c>
      <c r="M28" s="7">
        <v>100</v>
      </c>
      <c r="N28" s="7">
        <v>100</v>
      </c>
      <c r="O28" s="13">
        <f t="shared" si="0"/>
        <v>95.416666666666671</v>
      </c>
    </row>
    <row r="29" spans="1:15" ht="17.25">
      <c r="A29" s="7" t="s">
        <v>139</v>
      </c>
      <c r="B29" s="7" t="s">
        <v>186</v>
      </c>
      <c r="C29" s="7" t="s">
        <v>187</v>
      </c>
      <c r="D29" s="7" t="s">
        <v>52</v>
      </c>
      <c r="E29" s="7">
        <v>95</v>
      </c>
      <c r="F29" s="7">
        <v>95</v>
      </c>
      <c r="G29" s="7">
        <v>100</v>
      </c>
      <c r="H29" s="7">
        <v>100</v>
      </c>
      <c r="I29" s="7">
        <v>95</v>
      </c>
      <c r="J29" s="7">
        <v>100</v>
      </c>
      <c r="K29" s="7">
        <v>95</v>
      </c>
      <c r="L29" s="7">
        <v>100</v>
      </c>
      <c r="M29" s="7">
        <v>100</v>
      </c>
      <c r="N29" s="7">
        <v>100</v>
      </c>
      <c r="O29" s="13">
        <f t="shared" si="0"/>
        <v>98.055555555555557</v>
      </c>
    </row>
    <row r="30" spans="1:15" ht="17.25">
      <c r="A30" s="7" t="s">
        <v>139</v>
      </c>
      <c r="B30" s="7" t="s">
        <v>188</v>
      </c>
      <c r="C30" s="7" t="s">
        <v>189</v>
      </c>
      <c r="D30" s="7" t="s">
        <v>50</v>
      </c>
      <c r="E30" s="7">
        <v>100</v>
      </c>
      <c r="F30" s="7">
        <v>100</v>
      </c>
      <c r="G30" s="7">
        <v>90</v>
      </c>
      <c r="H30" s="7">
        <v>100</v>
      </c>
      <c r="I30" s="7">
        <v>90</v>
      </c>
      <c r="J30" s="7">
        <v>95</v>
      </c>
      <c r="K30" s="7">
        <v>95</v>
      </c>
      <c r="L30" s="7">
        <v>90</v>
      </c>
      <c r="M30" s="7">
        <v>100</v>
      </c>
      <c r="N30" s="7">
        <v>100</v>
      </c>
      <c r="O30" s="13">
        <f t="shared" si="0"/>
        <v>95.833333333333329</v>
      </c>
    </row>
    <row r="31" spans="1:15" ht="17.25">
      <c r="A31" s="7" t="s">
        <v>139</v>
      </c>
      <c r="B31" s="7" t="s">
        <v>190</v>
      </c>
      <c r="C31" s="7" t="s">
        <v>191</v>
      </c>
      <c r="D31" s="7" t="s">
        <v>50</v>
      </c>
      <c r="E31" s="7">
        <v>90</v>
      </c>
      <c r="F31" s="7">
        <v>85</v>
      </c>
      <c r="G31" s="7">
        <v>85</v>
      </c>
      <c r="H31" s="7">
        <v>80</v>
      </c>
      <c r="I31" s="7">
        <v>90</v>
      </c>
      <c r="J31" s="7">
        <v>90</v>
      </c>
      <c r="K31" s="7">
        <v>90</v>
      </c>
      <c r="L31" s="7">
        <v>100</v>
      </c>
      <c r="M31" s="7">
        <v>100</v>
      </c>
      <c r="N31" s="7">
        <v>100</v>
      </c>
      <c r="O31" s="13">
        <f t="shared" si="0"/>
        <v>91.666666666666671</v>
      </c>
    </row>
    <row r="32" spans="1:15" ht="17.25">
      <c r="A32" s="7" t="s">
        <v>139</v>
      </c>
      <c r="B32" s="21">
        <v>1810301209</v>
      </c>
      <c r="C32" s="21" t="s">
        <v>192</v>
      </c>
      <c r="D32" s="21" t="s">
        <v>50</v>
      </c>
      <c r="E32" s="7">
        <v>100</v>
      </c>
      <c r="F32" s="7">
        <v>100</v>
      </c>
      <c r="G32" s="7">
        <v>100</v>
      </c>
      <c r="H32" s="7">
        <v>100</v>
      </c>
      <c r="I32" s="7">
        <v>95</v>
      </c>
      <c r="J32" s="7">
        <v>95</v>
      </c>
      <c r="K32" s="7">
        <v>95</v>
      </c>
      <c r="L32" s="7">
        <v>100</v>
      </c>
      <c r="M32" s="7">
        <v>100</v>
      </c>
      <c r="N32" s="7">
        <v>100</v>
      </c>
      <c r="O32" s="13">
        <f t="shared" si="0"/>
        <v>98.333333333333329</v>
      </c>
    </row>
    <row r="33" spans="1:15" ht="17.25">
      <c r="A33" s="22" t="s">
        <v>139</v>
      </c>
      <c r="B33" s="7" t="s">
        <v>193</v>
      </c>
      <c r="C33" s="23" t="s">
        <v>194</v>
      </c>
      <c r="D33" s="23" t="s">
        <v>50</v>
      </c>
      <c r="E33" s="7">
        <v>95</v>
      </c>
      <c r="F33" s="7">
        <v>100</v>
      </c>
      <c r="G33" s="7">
        <v>100</v>
      </c>
      <c r="H33" s="7">
        <v>100</v>
      </c>
      <c r="I33" s="7">
        <v>100</v>
      </c>
      <c r="J33" s="7">
        <v>95</v>
      </c>
      <c r="K33" s="7">
        <v>95</v>
      </c>
      <c r="L33" s="7">
        <v>90</v>
      </c>
      <c r="M33" s="7">
        <v>100</v>
      </c>
      <c r="N33" s="7">
        <v>100</v>
      </c>
      <c r="O33" s="13">
        <f t="shared" si="0"/>
        <v>97.361111111111128</v>
      </c>
    </row>
    <row r="34" spans="1:15" ht="17.25">
      <c r="A34" s="22" t="s">
        <v>139</v>
      </c>
      <c r="B34" s="7" t="s">
        <v>195</v>
      </c>
      <c r="C34" s="23" t="s">
        <v>196</v>
      </c>
      <c r="D34" s="23" t="s">
        <v>50</v>
      </c>
      <c r="E34" s="7">
        <v>100</v>
      </c>
      <c r="F34" s="7">
        <v>100</v>
      </c>
      <c r="G34" s="7">
        <v>100</v>
      </c>
      <c r="H34" s="7">
        <v>100</v>
      </c>
      <c r="I34" s="7">
        <v>100</v>
      </c>
      <c r="J34" s="7">
        <v>95</v>
      </c>
      <c r="K34" s="7">
        <v>100</v>
      </c>
      <c r="L34" s="7">
        <v>100</v>
      </c>
      <c r="M34" s="7">
        <v>100</v>
      </c>
      <c r="N34" s="7">
        <v>100</v>
      </c>
      <c r="O34" s="13">
        <f t="shared" si="0"/>
        <v>99.444444444444443</v>
      </c>
    </row>
  </sheetData>
  <mergeCells count="13">
    <mergeCell ref="O4:O5"/>
    <mergeCell ref="F2:I3"/>
    <mergeCell ref="J2:L3"/>
    <mergeCell ref="C2:E3"/>
    <mergeCell ref="A2:B3"/>
    <mergeCell ref="A1:B1"/>
    <mergeCell ref="C1:E1"/>
    <mergeCell ref="F1:I1"/>
    <mergeCell ref="J1:L1"/>
    <mergeCell ref="A4:A5"/>
    <mergeCell ref="B4:B5"/>
    <mergeCell ref="C4:C5"/>
    <mergeCell ref="D4:D5"/>
  </mergeCells>
  <phoneticPr fontId="18" type="noConversion"/>
  <pageMargins left="0.75" right="0.75" top="1" bottom="1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5"/>
  <sheetViews>
    <sheetView topLeftCell="A4" workbookViewId="0">
      <selection activeCell="Q34" sqref="A1:XFD1048576"/>
    </sheetView>
  </sheetViews>
  <sheetFormatPr defaultColWidth="9" defaultRowHeight="13.5"/>
  <cols>
    <col min="4" max="4" width="6.5" customWidth="1"/>
  </cols>
  <sheetData>
    <row r="1" spans="1:15" ht="17.25">
      <c r="A1" s="55" t="s">
        <v>0</v>
      </c>
      <c r="B1" s="56"/>
      <c r="C1" s="55" t="s">
        <v>1</v>
      </c>
      <c r="D1" s="57"/>
      <c r="E1" s="57"/>
      <c r="F1" s="58" t="s">
        <v>2</v>
      </c>
      <c r="G1" s="59"/>
      <c r="H1" s="59"/>
      <c r="I1" s="59"/>
      <c r="J1" s="55" t="s">
        <v>3</v>
      </c>
      <c r="K1" s="55"/>
      <c r="L1" s="55"/>
      <c r="M1" s="1"/>
      <c r="N1" s="1"/>
      <c r="O1" s="1"/>
    </row>
    <row r="2" spans="1:15" ht="17.25">
      <c r="A2" s="60" t="s">
        <v>4</v>
      </c>
      <c r="B2" s="61"/>
      <c r="C2" s="55" t="s">
        <v>329</v>
      </c>
      <c r="D2" s="57"/>
      <c r="E2" s="57"/>
      <c r="F2" s="69" t="s">
        <v>6</v>
      </c>
      <c r="G2" s="70"/>
      <c r="H2" s="70"/>
      <c r="I2" s="70"/>
      <c r="J2" s="72" t="s">
        <v>7</v>
      </c>
      <c r="K2" s="73"/>
      <c r="L2" s="73"/>
      <c r="M2" s="1"/>
      <c r="N2" s="1"/>
      <c r="O2" s="1"/>
    </row>
    <row r="3" spans="1:15" ht="17.25">
      <c r="A3" s="62" t="s">
        <v>8</v>
      </c>
      <c r="B3" s="61"/>
      <c r="C3" s="3"/>
      <c r="D3" s="3"/>
      <c r="E3" s="17"/>
      <c r="F3" s="71"/>
      <c r="G3" s="71"/>
      <c r="H3" s="71"/>
      <c r="I3" s="71"/>
      <c r="J3" s="73"/>
      <c r="K3" s="73"/>
      <c r="L3" s="73"/>
      <c r="M3" s="1"/>
      <c r="N3" s="1"/>
      <c r="O3" s="1"/>
    </row>
    <row r="4" spans="1:15" ht="16.5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5" t="s">
        <v>33</v>
      </c>
    </row>
    <row r="5" spans="1:15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68"/>
    </row>
    <row r="6" spans="1:15" ht="17.25">
      <c r="A6" s="18" t="s">
        <v>197</v>
      </c>
      <c r="B6" s="19">
        <v>1810300117</v>
      </c>
      <c r="C6" s="18" t="s">
        <v>198</v>
      </c>
      <c r="D6" s="18" t="s">
        <v>199</v>
      </c>
      <c r="E6" s="7">
        <v>90</v>
      </c>
      <c r="F6" s="7">
        <v>90</v>
      </c>
      <c r="G6" s="7">
        <v>85</v>
      </c>
      <c r="H6" s="7">
        <v>80</v>
      </c>
      <c r="I6" s="7">
        <v>100</v>
      </c>
      <c r="J6" s="7">
        <v>95</v>
      </c>
      <c r="K6" s="7">
        <v>95</v>
      </c>
      <c r="L6" s="7">
        <v>100</v>
      </c>
      <c r="M6" s="7">
        <v>100</v>
      </c>
      <c r="N6" s="7">
        <v>100</v>
      </c>
      <c r="O6" s="13">
        <f t="shared" ref="O6:O35" si="0">(AVERAGE(E6:H6)+AVERAGE(I6:K6)+AVERAGE(L6:N6))/3</f>
        <v>94.305555555555557</v>
      </c>
    </row>
    <row r="7" spans="1:15" ht="17.25">
      <c r="A7" s="18" t="s">
        <v>197</v>
      </c>
      <c r="B7" s="19">
        <v>1810300120</v>
      </c>
      <c r="C7" s="18" t="s">
        <v>200</v>
      </c>
      <c r="D7" s="18" t="s">
        <v>199</v>
      </c>
      <c r="E7" s="7">
        <v>90</v>
      </c>
      <c r="F7" s="7">
        <v>100</v>
      </c>
      <c r="G7" s="7">
        <v>100</v>
      </c>
      <c r="H7" s="7">
        <v>100</v>
      </c>
      <c r="I7" s="7">
        <v>100</v>
      </c>
      <c r="J7" s="7">
        <v>100</v>
      </c>
      <c r="K7" s="7">
        <v>95</v>
      </c>
      <c r="L7" s="7">
        <v>100</v>
      </c>
      <c r="M7" s="7">
        <v>100</v>
      </c>
      <c r="N7" s="7">
        <v>100</v>
      </c>
      <c r="O7" s="13">
        <f t="shared" si="0"/>
        <v>98.6111111111111</v>
      </c>
    </row>
    <row r="8" spans="1:15" ht="17.25">
      <c r="A8" s="18" t="s">
        <v>197</v>
      </c>
      <c r="B8" s="19">
        <v>1810300221</v>
      </c>
      <c r="C8" s="18" t="s">
        <v>201</v>
      </c>
      <c r="D8" s="18" t="s">
        <v>199</v>
      </c>
      <c r="E8" s="7">
        <v>90</v>
      </c>
      <c r="F8" s="7">
        <v>90</v>
      </c>
      <c r="G8" s="7">
        <v>85</v>
      </c>
      <c r="H8" s="7">
        <v>85</v>
      </c>
      <c r="I8" s="7">
        <v>90</v>
      </c>
      <c r="J8" s="7">
        <v>95</v>
      </c>
      <c r="K8" s="7">
        <v>95</v>
      </c>
      <c r="L8" s="7">
        <v>100</v>
      </c>
      <c r="M8" s="7">
        <v>100</v>
      </c>
      <c r="N8" s="7">
        <v>100</v>
      </c>
      <c r="O8" s="13">
        <f t="shared" si="0"/>
        <v>93.6111111111111</v>
      </c>
    </row>
    <row r="9" spans="1:15" ht="17.25">
      <c r="A9" s="18" t="s">
        <v>197</v>
      </c>
      <c r="B9" s="19">
        <v>1810300318</v>
      </c>
      <c r="C9" s="18" t="s">
        <v>202</v>
      </c>
      <c r="D9" s="18" t="s">
        <v>199</v>
      </c>
      <c r="E9" s="7">
        <v>85</v>
      </c>
      <c r="F9" s="7">
        <v>80</v>
      </c>
      <c r="G9" s="7">
        <v>80</v>
      </c>
      <c r="H9" s="7">
        <v>80</v>
      </c>
      <c r="I9" s="7">
        <v>90</v>
      </c>
      <c r="J9" s="7">
        <v>100</v>
      </c>
      <c r="K9" s="7">
        <v>100</v>
      </c>
      <c r="L9" s="7">
        <v>100</v>
      </c>
      <c r="M9" s="7">
        <v>80</v>
      </c>
      <c r="N9" s="7">
        <v>100</v>
      </c>
      <c r="O9" s="13">
        <f t="shared" si="0"/>
        <v>90.416666666666671</v>
      </c>
    </row>
    <row r="10" spans="1:15" ht="17.25">
      <c r="A10" s="18" t="s">
        <v>197</v>
      </c>
      <c r="B10" s="19">
        <v>1810300404</v>
      </c>
      <c r="C10" s="18" t="s">
        <v>203</v>
      </c>
      <c r="D10" s="18" t="s">
        <v>199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  <c r="J10" s="7">
        <v>100</v>
      </c>
      <c r="K10" s="7">
        <v>100</v>
      </c>
      <c r="L10" s="7">
        <v>100</v>
      </c>
      <c r="M10" s="7">
        <v>100</v>
      </c>
      <c r="N10" s="7">
        <v>100</v>
      </c>
      <c r="O10" s="13">
        <f t="shared" si="0"/>
        <v>100</v>
      </c>
    </row>
    <row r="11" spans="1:15" ht="17.25">
      <c r="A11" s="18" t="s">
        <v>197</v>
      </c>
      <c r="B11" s="19">
        <v>1810300504</v>
      </c>
      <c r="C11" s="18" t="s">
        <v>204</v>
      </c>
      <c r="D11" s="18" t="s">
        <v>199</v>
      </c>
      <c r="E11" s="7">
        <v>100</v>
      </c>
      <c r="F11" s="7">
        <v>100</v>
      </c>
      <c r="G11" s="7">
        <v>100</v>
      </c>
      <c r="H11" s="7">
        <v>100</v>
      </c>
      <c r="I11" s="7">
        <v>100</v>
      </c>
      <c r="J11" s="7">
        <v>95</v>
      </c>
      <c r="K11" s="7">
        <v>95</v>
      </c>
      <c r="L11" s="7">
        <v>100</v>
      </c>
      <c r="M11" s="7">
        <v>100</v>
      </c>
      <c r="N11" s="7">
        <v>100</v>
      </c>
      <c r="O11" s="13">
        <f t="shared" si="0"/>
        <v>98.8888888888889</v>
      </c>
    </row>
    <row r="12" spans="1:15" ht="17.25">
      <c r="A12" s="18" t="s">
        <v>197</v>
      </c>
      <c r="B12" s="19">
        <v>1810300512</v>
      </c>
      <c r="C12" s="18" t="s">
        <v>205</v>
      </c>
      <c r="D12" s="18" t="s">
        <v>199</v>
      </c>
      <c r="E12" s="7">
        <v>80</v>
      </c>
      <c r="F12" s="7">
        <v>85</v>
      </c>
      <c r="G12" s="7">
        <v>80</v>
      </c>
      <c r="H12" s="7">
        <v>80</v>
      </c>
      <c r="I12" s="7">
        <v>100</v>
      </c>
      <c r="J12" s="7">
        <v>95</v>
      </c>
      <c r="K12" s="7">
        <v>95</v>
      </c>
      <c r="L12" s="7">
        <v>90</v>
      </c>
      <c r="M12" s="7">
        <v>100</v>
      </c>
      <c r="N12" s="7">
        <v>100</v>
      </c>
      <c r="O12" s="13">
        <f t="shared" si="0"/>
        <v>91.527777777777786</v>
      </c>
    </row>
    <row r="13" spans="1:15" ht="17.25">
      <c r="A13" s="18" t="s">
        <v>197</v>
      </c>
      <c r="B13" s="19">
        <v>1810300605</v>
      </c>
      <c r="C13" s="18" t="s">
        <v>206</v>
      </c>
      <c r="D13" s="18" t="s">
        <v>199</v>
      </c>
      <c r="E13" s="7">
        <v>100</v>
      </c>
      <c r="F13" s="7">
        <v>95</v>
      </c>
      <c r="G13" s="7">
        <v>85</v>
      </c>
      <c r="H13" s="7">
        <v>90</v>
      </c>
      <c r="I13" s="7">
        <v>100</v>
      </c>
      <c r="J13" s="7">
        <v>95</v>
      </c>
      <c r="K13" s="7">
        <v>100</v>
      </c>
      <c r="L13" s="7">
        <v>90</v>
      </c>
      <c r="M13" s="7">
        <v>100</v>
      </c>
      <c r="N13" s="7">
        <v>100</v>
      </c>
      <c r="O13" s="13">
        <f t="shared" si="0"/>
        <v>95.833333333333329</v>
      </c>
    </row>
    <row r="14" spans="1:15" ht="17.25">
      <c r="A14" s="18" t="s">
        <v>197</v>
      </c>
      <c r="B14" s="19">
        <v>1810300612</v>
      </c>
      <c r="C14" s="18" t="s">
        <v>207</v>
      </c>
      <c r="D14" s="18" t="s">
        <v>199</v>
      </c>
      <c r="E14" s="7">
        <v>80</v>
      </c>
      <c r="F14" s="7">
        <v>80</v>
      </c>
      <c r="G14" s="7">
        <v>80</v>
      </c>
      <c r="H14" s="7">
        <v>80</v>
      </c>
      <c r="I14" s="7">
        <v>100</v>
      </c>
      <c r="J14" s="7">
        <v>95</v>
      </c>
      <c r="K14" s="7">
        <v>95</v>
      </c>
      <c r="L14" s="7">
        <v>90</v>
      </c>
      <c r="M14" s="7">
        <v>100</v>
      </c>
      <c r="N14" s="7">
        <v>100</v>
      </c>
      <c r="O14" s="13">
        <f t="shared" si="0"/>
        <v>91.111111111111128</v>
      </c>
    </row>
    <row r="15" spans="1:15" ht="17.25">
      <c r="A15" s="18" t="s">
        <v>197</v>
      </c>
      <c r="B15" s="19">
        <v>1810300627</v>
      </c>
      <c r="C15" s="18" t="s">
        <v>208</v>
      </c>
      <c r="D15" s="18" t="s">
        <v>209</v>
      </c>
      <c r="E15" s="7">
        <v>85</v>
      </c>
      <c r="F15" s="7">
        <v>85</v>
      </c>
      <c r="G15" s="7">
        <v>80</v>
      </c>
      <c r="H15" s="7">
        <v>85</v>
      </c>
      <c r="I15" s="7">
        <v>100</v>
      </c>
      <c r="J15" s="7">
        <v>100</v>
      </c>
      <c r="K15" s="7">
        <v>95</v>
      </c>
      <c r="L15" s="7">
        <v>100</v>
      </c>
      <c r="M15" s="7">
        <v>100</v>
      </c>
      <c r="N15" s="7">
        <v>100</v>
      </c>
      <c r="O15" s="13">
        <f t="shared" si="0"/>
        <v>94.027777777777771</v>
      </c>
    </row>
    <row r="16" spans="1:15" ht="17.25">
      <c r="A16" s="18" t="s">
        <v>197</v>
      </c>
      <c r="B16" s="19">
        <v>1810300628</v>
      </c>
      <c r="C16" s="18" t="s">
        <v>210</v>
      </c>
      <c r="D16" s="18" t="s">
        <v>209</v>
      </c>
      <c r="E16" s="7">
        <v>0</v>
      </c>
      <c r="F16" s="7">
        <v>0</v>
      </c>
      <c r="G16" s="7">
        <v>0</v>
      </c>
      <c r="H16" s="7">
        <v>0</v>
      </c>
      <c r="I16" s="7">
        <v>100</v>
      </c>
      <c r="J16" s="7">
        <v>95</v>
      </c>
      <c r="K16" s="7">
        <v>95</v>
      </c>
      <c r="L16" s="7">
        <v>100</v>
      </c>
      <c r="M16" s="7">
        <v>100</v>
      </c>
      <c r="N16" s="7">
        <v>100</v>
      </c>
      <c r="O16" s="13">
        <f t="shared" si="0"/>
        <v>65.555555555555557</v>
      </c>
    </row>
    <row r="17" spans="1:15" ht="17.25">
      <c r="A17" s="18" t="s">
        <v>197</v>
      </c>
      <c r="B17" s="19">
        <v>1810300629</v>
      </c>
      <c r="C17" s="18" t="s">
        <v>211</v>
      </c>
      <c r="D17" s="18" t="s">
        <v>209</v>
      </c>
      <c r="E17" s="7">
        <v>90</v>
      </c>
      <c r="F17" s="7">
        <v>90</v>
      </c>
      <c r="G17" s="7">
        <v>85</v>
      </c>
      <c r="H17" s="7">
        <v>90</v>
      </c>
      <c r="I17" s="7">
        <v>100</v>
      </c>
      <c r="J17" s="7">
        <v>95</v>
      </c>
      <c r="K17" s="7">
        <v>95</v>
      </c>
      <c r="L17" s="7">
        <v>100</v>
      </c>
      <c r="M17" s="7">
        <v>100</v>
      </c>
      <c r="N17" s="7">
        <v>100</v>
      </c>
      <c r="O17" s="13">
        <f t="shared" si="0"/>
        <v>95.1388888888889</v>
      </c>
    </row>
    <row r="18" spans="1:15" ht="17.25">
      <c r="A18" s="18" t="s">
        <v>197</v>
      </c>
      <c r="B18" s="19">
        <v>1810300709</v>
      </c>
      <c r="C18" s="18" t="s">
        <v>212</v>
      </c>
      <c r="D18" s="18" t="s">
        <v>199</v>
      </c>
      <c r="E18" s="7">
        <v>80</v>
      </c>
      <c r="F18" s="7">
        <v>80</v>
      </c>
      <c r="G18" s="7">
        <v>80</v>
      </c>
      <c r="H18" s="7">
        <v>80</v>
      </c>
      <c r="I18" s="7">
        <v>1</v>
      </c>
      <c r="J18" s="7">
        <v>95</v>
      </c>
      <c r="K18" s="7">
        <v>95</v>
      </c>
      <c r="L18" s="7">
        <v>100</v>
      </c>
      <c r="M18" s="7">
        <v>100</v>
      </c>
      <c r="N18" s="7">
        <v>100</v>
      </c>
      <c r="O18" s="13">
        <f t="shared" si="0"/>
        <v>81.222222222222214</v>
      </c>
    </row>
    <row r="19" spans="1:15" ht="17.25">
      <c r="A19" s="18" t="s">
        <v>197</v>
      </c>
      <c r="B19" s="19">
        <v>1810300721</v>
      </c>
      <c r="C19" s="18" t="s">
        <v>213</v>
      </c>
      <c r="D19" s="18" t="s">
        <v>199</v>
      </c>
      <c r="E19" s="7">
        <v>75</v>
      </c>
      <c r="F19" s="7">
        <v>90</v>
      </c>
      <c r="G19" s="7">
        <v>75</v>
      </c>
      <c r="H19" s="7">
        <v>80</v>
      </c>
      <c r="I19" s="7">
        <v>1</v>
      </c>
      <c r="J19" s="7">
        <v>95</v>
      </c>
      <c r="K19" s="7">
        <v>100</v>
      </c>
      <c r="L19" s="7">
        <v>90</v>
      </c>
      <c r="M19" s="7">
        <v>100</v>
      </c>
      <c r="N19" s="7">
        <v>100</v>
      </c>
      <c r="O19" s="13">
        <f t="shared" si="0"/>
        <v>80.666666666666671</v>
      </c>
    </row>
    <row r="20" spans="1:15" ht="17.25">
      <c r="A20" s="18" t="s">
        <v>197</v>
      </c>
      <c r="B20" s="19">
        <v>1810300819</v>
      </c>
      <c r="C20" s="18" t="s">
        <v>214</v>
      </c>
      <c r="D20" s="18" t="s">
        <v>199</v>
      </c>
      <c r="E20" s="20">
        <v>80</v>
      </c>
      <c r="F20" s="20">
        <v>80</v>
      </c>
      <c r="G20" s="20">
        <v>80</v>
      </c>
      <c r="H20" s="20">
        <v>80</v>
      </c>
      <c r="I20" s="7">
        <v>90</v>
      </c>
      <c r="J20" s="7">
        <v>90</v>
      </c>
      <c r="K20" s="7">
        <v>90</v>
      </c>
      <c r="L20" s="7">
        <v>100</v>
      </c>
      <c r="M20" s="7">
        <v>100</v>
      </c>
      <c r="N20" s="7">
        <v>100</v>
      </c>
      <c r="O20" s="13">
        <f t="shared" si="0"/>
        <v>90</v>
      </c>
    </row>
    <row r="21" spans="1:15" ht="17.25">
      <c r="A21" s="18" t="s">
        <v>197</v>
      </c>
      <c r="B21" s="19">
        <v>1810300916</v>
      </c>
      <c r="C21" s="18" t="s">
        <v>215</v>
      </c>
      <c r="D21" s="18" t="s">
        <v>199</v>
      </c>
      <c r="E21" s="7">
        <v>90</v>
      </c>
      <c r="F21" s="7">
        <v>90</v>
      </c>
      <c r="G21" s="7">
        <v>90</v>
      </c>
      <c r="H21" s="7">
        <v>90</v>
      </c>
      <c r="I21" s="7">
        <v>100</v>
      </c>
      <c r="J21" s="7">
        <v>95</v>
      </c>
      <c r="K21" s="7">
        <v>95</v>
      </c>
      <c r="L21" s="7">
        <v>100</v>
      </c>
      <c r="M21" s="7">
        <v>100</v>
      </c>
      <c r="N21" s="7">
        <v>100</v>
      </c>
      <c r="O21" s="13">
        <f t="shared" si="0"/>
        <v>95.555555555555557</v>
      </c>
    </row>
    <row r="22" spans="1:15" ht="17.25">
      <c r="A22" s="18" t="s">
        <v>197</v>
      </c>
      <c r="B22" s="19">
        <v>1810300920</v>
      </c>
      <c r="C22" s="18" t="s">
        <v>216</v>
      </c>
      <c r="D22" s="18" t="s">
        <v>199</v>
      </c>
      <c r="E22" s="7">
        <v>95</v>
      </c>
      <c r="F22" s="7">
        <v>100</v>
      </c>
      <c r="G22" s="7">
        <v>95</v>
      </c>
      <c r="H22" s="7">
        <v>100</v>
      </c>
      <c r="I22" s="7">
        <v>100</v>
      </c>
      <c r="J22" s="7">
        <v>95</v>
      </c>
      <c r="K22" s="7">
        <v>95</v>
      </c>
      <c r="L22" s="7">
        <v>90</v>
      </c>
      <c r="M22" s="7">
        <v>100</v>
      </c>
      <c r="N22" s="7">
        <v>100</v>
      </c>
      <c r="O22" s="13">
        <f t="shared" si="0"/>
        <v>96.944444444444457</v>
      </c>
    </row>
    <row r="23" spans="1:15" ht="17.25">
      <c r="A23" s="18" t="s">
        <v>197</v>
      </c>
      <c r="B23" s="19">
        <v>1810301019</v>
      </c>
      <c r="C23" s="18" t="s">
        <v>217</v>
      </c>
      <c r="D23" s="18" t="s">
        <v>199</v>
      </c>
      <c r="E23" s="7">
        <v>85</v>
      </c>
      <c r="F23" s="7">
        <v>95</v>
      </c>
      <c r="G23" s="7">
        <v>85</v>
      </c>
      <c r="H23" s="7">
        <v>90</v>
      </c>
      <c r="I23" s="7">
        <v>100</v>
      </c>
      <c r="J23" s="7">
        <v>95</v>
      </c>
      <c r="K23" s="7">
        <v>95</v>
      </c>
      <c r="L23" s="7">
        <v>100</v>
      </c>
      <c r="M23" s="7">
        <v>100</v>
      </c>
      <c r="N23" s="7">
        <v>90</v>
      </c>
      <c r="O23" s="13">
        <f t="shared" si="0"/>
        <v>94.027777777777786</v>
      </c>
    </row>
    <row r="24" spans="1:15" ht="17.25">
      <c r="A24" s="18" t="s">
        <v>197</v>
      </c>
      <c r="B24" s="19">
        <v>1810301001</v>
      </c>
      <c r="C24" s="18" t="s">
        <v>218</v>
      </c>
      <c r="D24" s="18" t="s">
        <v>199</v>
      </c>
      <c r="E24" s="7">
        <v>80</v>
      </c>
      <c r="F24" s="7">
        <v>90</v>
      </c>
      <c r="G24" s="7">
        <v>85</v>
      </c>
      <c r="H24" s="7">
        <v>80</v>
      </c>
      <c r="I24" s="7">
        <v>100</v>
      </c>
      <c r="J24" s="7">
        <v>95</v>
      </c>
      <c r="K24" s="7">
        <v>100</v>
      </c>
      <c r="L24" s="7">
        <v>100</v>
      </c>
      <c r="M24" s="7">
        <v>100</v>
      </c>
      <c r="N24" s="7">
        <v>100</v>
      </c>
      <c r="O24" s="13">
        <f t="shared" si="0"/>
        <v>94.027777777777771</v>
      </c>
    </row>
    <row r="25" spans="1:15" ht="17.25">
      <c r="A25" s="18" t="s">
        <v>197</v>
      </c>
      <c r="B25" s="19">
        <v>1810301002</v>
      </c>
      <c r="C25" s="18" t="s">
        <v>219</v>
      </c>
      <c r="D25" s="18" t="s">
        <v>199</v>
      </c>
      <c r="E25" s="7">
        <v>70</v>
      </c>
      <c r="F25" s="7">
        <v>90</v>
      </c>
      <c r="G25" s="7">
        <v>80</v>
      </c>
      <c r="H25" s="7">
        <v>85</v>
      </c>
      <c r="I25" s="7">
        <v>100</v>
      </c>
      <c r="J25" s="7">
        <v>95</v>
      </c>
      <c r="K25" s="7">
        <v>95</v>
      </c>
      <c r="L25" s="7">
        <v>100</v>
      </c>
      <c r="M25" s="7">
        <v>100</v>
      </c>
      <c r="N25" s="7">
        <v>100</v>
      </c>
      <c r="O25" s="13">
        <f t="shared" si="0"/>
        <v>92.6388888888889</v>
      </c>
    </row>
    <row r="26" spans="1:15" ht="17.25">
      <c r="A26" s="18" t="s">
        <v>197</v>
      </c>
      <c r="B26" s="19">
        <v>1810301005</v>
      </c>
      <c r="C26" s="18" t="s">
        <v>220</v>
      </c>
      <c r="D26" s="18" t="s">
        <v>199</v>
      </c>
      <c r="E26" s="7">
        <v>100</v>
      </c>
      <c r="F26" s="7">
        <v>95</v>
      </c>
      <c r="G26" s="7">
        <v>80</v>
      </c>
      <c r="H26" s="7">
        <v>100</v>
      </c>
      <c r="I26" s="7">
        <v>100</v>
      </c>
      <c r="J26" s="7">
        <v>100</v>
      </c>
      <c r="K26" s="7">
        <v>95</v>
      </c>
      <c r="L26" s="7">
        <v>90</v>
      </c>
      <c r="M26" s="7">
        <v>100</v>
      </c>
      <c r="N26" s="7">
        <v>100</v>
      </c>
      <c r="O26" s="13">
        <f t="shared" si="0"/>
        <v>96.25</v>
      </c>
    </row>
    <row r="27" spans="1:15" ht="17.25">
      <c r="A27" s="18" t="s">
        <v>197</v>
      </c>
      <c r="B27" s="19">
        <v>1810301015</v>
      </c>
      <c r="C27" s="18" t="s">
        <v>221</v>
      </c>
      <c r="D27" s="18" t="s">
        <v>199</v>
      </c>
      <c r="E27" s="7">
        <v>85</v>
      </c>
      <c r="F27" s="7">
        <v>85</v>
      </c>
      <c r="G27" s="7">
        <v>85</v>
      </c>
      <c r="H27" s="7">
        <v>85</v>
      </c>
      <c r="I27" s="7">
        <v>100</v>
      </c>
      <c r="J27" s="7">
        <v>95</v>
      </c>
      <c r="K27" s="7">
        <v>95</v>
      </c>
      <c r="L27" s="7">
        <v>90</v>
      </c>
      <c r="M27" s="7">
        <v>100</v>
      </c>
      <c r="N27" s="7">
        <v>100</v>
      </c>
      <c r="O27" s="13">
        <f t="shared" si="0"/>
        <v>92.777777777777786</v>
      </c>
    </row>
    <row r="28" spans="1:15" ht="17.25">
      <c r="A28" s="18" t="s">
        <v>197</v>
      </c>
      <c r="B28" s="19">
        <v>1810301020</v>
      </c>
      <c r="C28" s="18" t="s">
        <v>222</v>
      </c>
      <c r="D28" s="18" t="s">
        <v>199</v>
      </c>
      <c r="E28" s="7">
        <v>85</v>
      </c>
      <c r="F28" s="7">
        <v>85</v>
      </c>
      <c r="G28" s="7">
        <v>80</v>
      </c>
      <c r="H28" s="7">
        <v>80</v>
      </c>
      <c r="I28" s="7">
        <v>100</v>
      </c>
      <c r="J28" s="7">
        <v>95</v>
      </c>
      <c r="K28" s="7">
        <v>95</v>
      </c>
      <c r="L28" s="7">
        <v>100</v>
      </c>
      <c r="M28" s="7">
        <v>100</v>
      </c>
      <c r="N28" s="7">
        <v>100</v>
      </c>
      <c r="O28" s="13">
        <f t="shared" si="0"/>
        <v>93.055555555555557</v>
      </c>
    </row>
    <row r="29" spans="1:15" ht="17.25">
      <c r="A29" s="18" t="s">
        <v>197</v>
      </c>
      <c r="B29" s="19">
        <v>1810301128</v>
      </c>
      <c r="C29" s="18" t="s">
        <v>223</v>
      </c>
      <c r="D29" s="18" t="s">
        <v>209</v>
      </c>
      <c r="E29" s="7">
        <v>100</v>
      </c>
      <c r="F29" s="7">
        <v>100</v>
      </c>
      <c r="G29" s="7">
        <v>100</v>
      </c>
      <c r="H29" s="7">
        <v>100</v>
      </c>
      <c r="I29" s="7">
        <v>100</v>
      </c>
      <c r="J29" s="7">
        <v>100</v>
      </c>
      <c r="K29" s="7">
        <v>100</v>
      </c>
      <c r="L29" s="7">
        <v>100</v>
      </c>
      <c r="M29" s="7">
        <v>100</v>
      </c>
      <c r="N29" s="7">
        <v>100</v>
      </c>
      <c r="O29" s="13">
        <f t="shared" si="0"/>
        <v>100</v>
      </c>
    </row>
    <row r="30" spans="1:15" ht="17.25">
      <c r="A30" s="18" t="s">
        <v>197</v>
      </c>
      <c r="B30" s="19">
        <v>1810301107</v>
      </c>
      <c r="C30" s="18" t="s">
        <v>224</v>
      </c>
      <c r="D30" s="18" t="s">
        <v>199</v>
      </c>
      <c r="E30" s="7">
        <v>80</v>
      </c>
      <c r="F30" s="7">
        <v>80</v>
      </c>
      <c r="G30" s="7">
        <v>85</v>
      </c>
      <c r="H30" s="7">
        <v>80</v>
      </c>
      <c r="I30" s="7">
        <v>100</v>
      </c>
      <c r="J30" s="7">
        <v>95</v>
      </c>
      <c r="K30" s="7">
        <v>100</v>
      </c>
      <c r="L30" s="7">
        <v>100</v>
      </c>
      <c r="M30" s="7">
        <v>100</v>
      </c>
      <c r="N30" s="7">
        <v>100</v>
      </c>
      <c r="O30" s="13">
        <f t="shared" si="0"/>
        <v>93.194444444444443</v>
      </c>
    </row>
    <row r="31" spans="1:15" ht="17.25">
      <c r="A31" s="18" t="s">
        <v>197</v>
      </c>
      <c r="B31" s="19">
        <v>1810301110</v>
      </c>
      <c r="C31" s="18" t="s">
        <v>225</v>
      </c>
      <c r="D31" s="18" t="s">
        <v>199</v>
      </c>
      <c r="E31" s="7">
        <v>80</v>
      </c>
      <c r="F31" s="7">
        <v>80</v>
      </c>
      <c r="G31" s="7">
        <v>80</v>
      </c>
      <c r="H31" s="7">
        <v>80</v>
      </c>
      <c r="I31" s="7">
        <v>100</v>
      </c>
      <c r="J31" s="7">
        <v>95</v>
      </c>
      <c r="K31" s="7">
        <v>95</v>
      </c>
      <c r="L31" s="7">
        <v>90</v>
      </c>
      <c r="M31" s="7">
        <v>100</v>
      </c>
      <c r="N31" s="7">
        <v>100</v>
      </c>
      <c r="O31" s="13">
        <f t="shared" si="0"/>
        <v>91.111111111111128</v>
      </c>
    </row>
    <row r="32" spans="1:15" ht="17.25">
      <c r="A32" s="18" t="s">
        <v>197</v>
      </c>
      <c r="B32" s="19">
        <v>1810301117</v>
      </c>
      <c r="C32" s="18" t="s">
        <v>226</v>
      </c>
      <c r="D32" s="18" t="s">
        <v>199</v>
      </c>
      <c r="E32" s="7">
        <v>80</v>
      </c>
      <c r="F32" s="7">
        <v>80</v>
      </c>
      <c r="G32" s="7">
        <v>80</v>
      </c>
      <c r="H32" s="7">
        <v>80</v>
      </c>
      <c r="I32" s="7">
        <v>100</v>
      </c>
      <c r="J32" s="7">
        <v>100</v>
      </c>
      <c r="K32" s="7">
        <v>95</v>
      </c>
      <c r="L32" s="7">
        <v>90</v>
      </c>
      <c r="M32" s="7">
        <v>100</v>
      </c>
      <c r="N32" s="7">
        <v>100</v>
      </c>
      <c r="O32" s="13">
        <f t="shared" si="0"/>
        <v>91.666666666666671</v>
      </c>
    </row>
    <row r="33" spans="1:15" ht="17.25">
      <c r="A33" s="18" t="s">
        <v>197</v>
      </c>
      <c r="B33" s="19">
        <v>1810301202</v>
      </c>
      <c r="C33" s="18" t="s">
        <v>227</v>
      </c>
      <c r="D33" s="18" t="s">
        <v>199</v>
      </c>
      <c r="E33" s="7">
        <v>100</v>
      </c>
      <c r="F33" s="7">
        <v>100</v>
      </c>
      <c r="G33" s="7">
        <v>100</v>
      </c>
      <c r="H33" s="7">
        <v>100</v>
      </c>
      <c r="I33" s="7">
        <v>100</v>
      </c>
      <c r="J33" s="7">
        <v>95</v>
      </c>
      <c r="K33" s="7">
        <v>95</v>
      </c>
      <c r="L33" s="7">
        <v>100</v>
      </c>
      <c r="M33" s="7">
        <v>100</v>
      </c>
      <c r="N33" s="7">
        <v>100</v>
      </c>
      <c r="O33" s="13">
        <f t="shared" si="0"/>
        <v>98.8888888888889</v>
      </c>
    </row>
    <row r="34" spans="1:15" ht="17.25">
      <c r="A34" s="18" t="s">
        <v>197</v>
      </c>
      <c r="B34" s="19">
        <v>1810301205</v>
      </c>
      <c r="C34" s="18" t="s">
        <v>228</v>
      </c>
      <c r="D34" s="18" t="s">
        <v>199</v>
      </c>
      <c r="E34" s="7">
        <v>95</v>
      </c>
      <c r="F34" s="7">
        <v>90</v>
      </c>
      <c r="G34" s="7">
        <v>85</v>
      </c>
      <c r="H34" s="7">
        <v>90</v>
      </c>
      <c r="I34" s="7">
        <v>100</v>
      </c>
      <c r="J34" s="7">
        <v>95</v>
      </c>
      <c r="K34" s="7">
        <v>100</v>
      </c>
      <c r="L34" s="7">
        <v>100</v>
      </c>
      <c r="M34" s="7">
        <v>100</v>
      </c>
      <c r="N34" s="7">
        <v>100</v>
      </c>
      <c r="O34" s="13">
        <f t="shared" si="0"/>
        <v>96.1111111111111</v>
      </c>
    </row>
    <row r="35" spans="1:15" ht="17.25">
      <c r="A35" s="18" t="s">
        <v>197</v>
      </c>
      <c r="B35" s="19">
        <v>1710651207</v>
      </c>
      <c r="C35" s="18" t="s">
        <v>229</v>
      </c>
      <c r="D35" s="18" t="s">
        <v>199</v>
      </c>
      <c r="E35" s="7">
        <v>0</v>
      </c>
      <c r="F35" s="7">
        <v>80</v>
      </c>
      <c r="G35" s="7">
        <v>80</v>
      </c>
      <c r="H35" s="7">
        <v>85</v>
      </c>
      <c r="I35" s="7">
        <v>100</v>
      </c>
      <c r="J35" s="7">
        <v>95</v>
      </c>
      <c r="K35" s="7">
        <v>95</v>
      </c>
      <c r="L35" s="7">
        <v>100</v>
      </c>
      <c r="M35" s="7">
        <v>100</v>
      </c>
      <c r="N35" s="7">
        <v>100</v>
      </c>
      <c r="O35" s="13">
        <f t="shared" si="0"/>
        <v>85.972222222222229</v>
      </c>
    </row>
  </sheetData>
  <mergeCells count="14">
    <mergeCell ref="O4:O5"/>
    <mergeCell ref="F2:I3"/>
    <mergeCell ref="J2:L3"/>
    <mergeCell ref="A3:B3"/>
    <mergeCell ref="A4:A5"/>
    <mergeCell ref="B4:B5"/>
    <mergeCell ref="C4:C5"/>
    <mergeCell ref="D4:D5"/>
    <mergeCell ref="A1:B1"/>
    <mergeCell ref="C1:E1"/>
    <mergeCell ref="F1:I1"/>
    <mergeCell ref="J1:L1"/>
    <mergeCell ref="A2:B2"/>
    <mergeCell ref="C2:E2"/>
  </mergeCells>
  <phoneticPr fontId="18" type="noConversion"/>
  <pageMargins left="0.75" right="0.75" top="1" bottom="1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4"/>
  <sheetViews>
    <sheetView workbookViewId="0">
      <selection sqref="A1:O3"/>
    </sheetView>
  </sheetViews>
  <sheetFormatPr defaultColWidth="9" defaultRowHeight="13.5"/>
  <cols>
    <col min="2" max="2" width="11.125" customWidth="1"/>
    <col min="3" max="3" width="7.125" customWidth="1"/>
    <col min="4" max="4" width="5.375" customWidth="1"/>
  </cols>
  <sheetData>
    <row r="1" spans="1:15" ht="17.25">
      <c r="A1" s="55" t="s">
        <v>0</v>
      </c>
      <c r="B1" s="56"/>
      <c r="C1" s="55" t="s">
        <v>1</v>
      </c>
      <c r="D1" s="57"/>
      <c r="E1" s="57"/>
      <c r="F1" s="58" t="s">
        <v>330</v>
      </c>
      <c r="G1" s="59"/>
      <c r="H1" s="59"/>
      <c r="I1" s="59"/>
      <c r="J1" s="55" t="s">
        <v>326</v>
      </c>
      <c r="K1" s="55"/>
      <c r="L1" s="55"/>
      <c r="M1" s="1"/>
      <c r="N1" s="1"/>
      <c r="O1" s="1"/>
    </row>
    <row r="2" spans="1:15" ht="14.25">
      <c r="A2" s="99" t="s">
        <v>4</v>
      </c>
      <c r="B2" s="99"/>
      <c r="C2" s="98" t="s">
        <v>79</v>
      </c>
      <c r="D2" s="98"/>
      <c r="E2" s="98"/>
      <c r="F2" s="69" t="s">
        <v>6</v>
      </c>
      <c r="G2" s="70"/>
      <c r="H2" s="70"/>
      <c r="I2" s="70"/>
      <c r="J2" s="72" t="s">
        <v>7</v>
      </c>
      <c r="K2" s="73"/>
      <c r="L2" s="73"/>
      <c r="M2" s="1"/>
      <c r="N2" s="1"/>
      <c r="O2" s="1"/>
    </row>
    <row r="3" spans="1:15" ht="14.25">
      <c r="A3" s="99"/>
      <c r="B3" s="99"/>
      <c r="C3" s="98"/>
      <c r="D3" s="98"/>
      <c r="E3" s="98"/>
      <c r="F3" s="71"/>
      <c r="G3" s="71"/>
      <c r="H3" s="71"/>
      <c r="I3" s="71"/>
      <c r="J3" s="73"/>
      <c r="K3" s="73"/>
      <c r="L3" s="73"/>
      <c r="M3" s="1"/>
      <c r="N3" s="1"/>
      <c r="O3" s="1"/>
    </row>
    <row r="4" spans="1:15" ht="16.5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5" t="s">
        <v>33</v>
      </c>
    </row>
    <row r="5" spans="1:15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68"/>
    </row>
    <row r="6" spans="1:15" ht="15" customHeight="1">
      <c r="A6" s="14" t="s">
        <v>231</v>
      </c>
      <c r="B6" s="14" t="s">
        <v>232</v>
      </c>
      <c r="C6" s="14" t="s">
        <v>233</v>
      </c>
      <c r="D6" s="14" t="s">
        <v>50</v>
      </c>
      <c r="E6" s="7">
        <v>85</v>
      </c>
      <c r="F6" s="7">
        <v>85</v>
      </c>
      <c r="G6" s="7">
        <v>80</v>
      </c>
      <c r="H6" s="7">
        <v>80</v>
      </c>
      <c r="I6" s="7">
        <v>100</v>
      </c>
      <c r="J6" s="7">
        <v>100</v>
      </c>
      <c r="K6" s="7">
        <v>95</v>
      </c>
      <c r="L6" s="7">
        <v>90</v>
      </c>
      <c r="M6" s="7">
        <v>90</v>
      </c>
      <c r="N6" s="7">
        <v>90</v>
      </c>
      <c r="O6" s="13">
        <f t="shared" ref="O6:O34" si="0">(AVERAGE(E6:H6)+AVERAGE(I6:K6)+AVERAGE(L6:N6))/3</f>
        <v>90.277777777777771</v>
      </c>
    </row>
    <row r="7" spans="1:15" ht="15" customHeight="1">
      <c r="A7" s="14" t="s">
        <v>231</v>
      </c>
      <c r="B7" s="14" t="s">
        <v>234</v>
      </c>
      <c r="C7" s="14" t="s">
        <v>235</v>
      </c>
      <c r="D7" s="14" t="s">
        <v>50</v>
      </c>
      <c r="E7" s="7">
        <v>80</v>
      </c>
      <c r="F7" s="7">
        <v>80</v>
      </c>
      <c r="G7" s="7">
        <v>80</v>
      </c>
      <c r="H7" s="7">
        <v>75</v>
      </c>
      <c r="I7" s="7">
        <v>100</v>
      </c>
      <c r="J7" s="7">
        <v>95</v>
      </c>
      <c r="K7" s="7">
        <v>95</v>
      </c>
      <c r="L7" s="7">
        <v>90</v>
      </c>
      <c r="M7" s="7">
        <v>100</v>
      </c>
      <c r="N7" s="7">
        <v>100</v>
      </c>
      <c r="O7" s="13">
        <f t="shared" si="0"/>
        <v>90.694444444444457</v>
      </c>
    </row>
    <row r="8" spans="1:15" ht="15" customHeight="1">
      <c r="A8" s="14" t="s">
        <v>231</v>
      </c>
      <c r="B8" s="14" t="s">
        <v>236</v>
      </c>
      <c r="C8" s="14" t="s">
        <v>237</v>
      </c>
      <c r="D8" s="14" t="s">
        <v>50</v>
      </c>
      <c r="E8" s="7">
        <v>85</v>
      </c>
      <c r="F8" s="7">
        <v>85</v>
      </c>
      <c r="G8" s="7">
        <v>0</v>
      </c>
      <c r="H8" s="7">
        <v>90</v>
      </c>
      <c r="I8" s="7">
        <v>0</v>
      </c>
      <c r="J8" s="7">
        <v>95</v>
      </c>
      <c r="K8" s="7">
        <v>100</v>
      </c>
      <c r="L8" s="7">
        <v>100</v>
      </c>
      <c r="M8" s="7">
        <v>100</v>
      </c>
      <c r="N8" s="7">
        <v>100</v>
      </c>
      <c r="O8" s="13">
        <f t="shared" si="0"/>
        <v>76.666666666666671</v>
      </c>
    </row>
    <row r="9" spans="1:15" ht="15" customHeight="1">
      <c r="A9" s="14" t="s">
        <v>231</v>
      </c>
      <c r="B9" s="14" t="s">
        <v>238</v>
      </c>
      <c r="C9" s="14" t="s">
        <v>239</v>
      </c>
      <c r="D9" s="14" t="s">
        <v>50</v>
      </c>
      <c r="E9" s="7">
        <v>0</v>
      </c>
      <c r="F9" s="7">
        <v>90</v>
      </c>
      <c r="G9" s="7">
        <v>80</v>
      </c>
      <c r="H9" s="7">
        <v>90</v>
      </c>
      <c r="I9" s="7">
        <v>100</v>
      </c>
      <c r="J9" s="7">
        <v>95</v>
      </c>
      <c r="K9" s="7">
        <v>95</v>
      </c>
      <c r="L9" s="7">
        <v>100</v>
      </c>
      <c r="M9" s="7">
        <v>100</v>
      </c>
      <c r="N9" s="7">
        <v>100</v>
      </c>
      <c r="O9" s="13">
        <f t="shared" si="0"/>
        <v>87.222222222222229</v>
      </c>
    </row>
    <row r="10" spans="1:15" ht="15" customHeight="1">
      <c r="A10" s="14" t="s">
        <v>231</v>
      </c>
      <c r="B10" s="14" t="s">
        <v>240</v>
      </c>
      <c r="C10" s="14" t="s">
        <v>241</v>
      </c>
      <c r="D10" s="14" t="s">
        <v>52</v>
      </c>
      <c r="E10" s="7">
        <v>90</v>
      </c>
      <c r="F10" s="7">
        <v>90</v>
      </c>
      <c r="G10" s="7">
        <v>80</v>
      </c>
      <c r="H10" s="7">
        <v>85</v>
      </c>
      <c r="I10" s="7">
        <v>100</v>
      </c>
      <c r="J10" s="7">
        <v>100</v>
      </c>
      <c r="K10" s="7">
        <v>95</v>
      </c>
      <c r="L10" s="7">
        <v>100</v>
      </c>
      <c r="M10" s="7">
        <v>100</v>
      </c>
      <c r="N10" s="7">
        <v>100</v>
      </c>
      <c r="O10" s="13">
        <f t="shared" si="0"/>
        <v>94.8611111111111</v>
      </c>
    </row>
    <row r="11" spans="1:15" ht="15" customHeight="1">
      <c r="A11" s="14" t="s">
        <v>231</v>
      </c>
      <c r="B11" s="14" t="s">
        <v>242</v>
      </c>
      <c r="C11" s="14" t="s">
        <v>243</v>
      </c>
      <c r="D11" s="14" t="s">
        <v>50</v>
      </c>
      <c r="E11" s="7">
        <v>90</v>
      </c>
      <c r="F11" s="7">
        <v>0</v>
      </c>
      <c r="G11" s="7">
        <v>95</v>
      </c>
      <c r="H11" s="7">
        <v>100</v>
      </c>
      <c r="I11" s="7">
        <v>100</v>
      </c>
      <c r="J11" s="7">
        <v>95</v>
      </c>
      <c r="K11" s="7">
        <v>95</v>
      </c>
      <c r="L11" s="7">
        <v>90</v>
      </c>
      <c r="M11" s="7">
        <v>100</v>
      </c>
      <c r="N11" s="7">
        <v>100</v>
      </c>
      <c r="O11" s="13">
        <f t="shared" si="0"/>
        <v>88.194444444444457</v>
      </c>
    </row>
    <row r="12" spans="1:15" ht="15" customHeight="1">
      <c r="A12" s="14" t="s">
        <v>231</v>
      </c>
      <c r="B12" s="14" t="s">
        <v>244</v>
      </c>
      <c r="C12" s="14" t="s">
        <v>245</v>
      </c>
      <c r="D12" s="14" t="s">
        <v>52</v>
      </c>
      <c r="E12" s="7">
        <v>90</v>
      </c>
      <c r="F12" s="7">
        <v>95</v>
      </c>
      <c r="G12" s="7">
        <v>90</v>
      </c>
      <c r="H12" s="7">
        <v>90</v>
      </c>
      <c r="I12" s="7">
        <v>100</v>
      </c>
      <c r="J12" s="7">
        <v>95</v>
      </c>
      <c r="K12" s="7">
        <v>100</v>
      </c>
      <c r="L12" s="7">
        <v>90</v>
      </c>
      <c r="M12" s="7">
        <v>100</v>
      </c>
      <c r="N12" s="7">
        <v>100</v>
      </c>
      <c r="O12" s="13">
        <f t="shared" si="0"/>
        <v>95.416666666666671</v>
      </c>
    </row>
    <row r="13" spans="1:15" ht="15" customHeight="1">
      <c r="A13" s="14" t="s">
        <v>231</v>
      </c>
      <c r="B13" s="14" t="s">
        <v>246</v>
      </c>
      <c r="C13" s="14" t="s">
        <v>247</v>
      </c>
      <c r="D13" s="14" t="s">
        <v>50</v>
      </c>
      <c r="E13" s="7">
        <v>80</v>
      </c>
      <c r="F13" s="7">
        <v>80</v>
      </c>
      <c r="G13" s="7">
        <v>0</v>
      </c>
      <c r="H13" s="7">
        <v>80</v>
      </c>
      <c r="I13" s="7">
        <v>100</v>
      </c>
      <c r="J13" s="7">
        <v>95</v>
      </c>
      <c r="K13" s="7">
        <v>95</v>
      </c>
      <c r="L13" s="7">
        <v>100</v>
      </c>
      <c r="M13" s="7">
        <v>100</v>
      </c>
      <c r="N13" s="7">
        <v>100</v>
      </c>
      <c r="O13" s="13">
        <f t="shared" si="0"/>
        <v>85.555555555555557</v>
      </c>
    </row>
    <row r="14" spans="1:15" ht="15" customHeight="1">
      <c r="A14" s="14" t="s">
        <v>231</v>
      </c>
      <c r="B14" s="14" t="s">
        <v>248</v>
      </c>
      <c r="C14" s="14" t="s">
        <v>249</v>
      </c>
      <c r="D14" s="14" t="s">
        <v>50</v>
      </c>
      <c r="E14" s="7">
        <v>80</v>
      </c>
      <c r="F14" s="7">
        <v>85</v>
      </c>
      <c r="G14" s="7">
        <v>80</v>
      </c>
      <c r="H14" s="7">
        <v>80</v>
      </c>
      <c r="I14" s="7">
        <v>100</v>
      </c>
      <c r="J14" s="7">
        <v>100</v>
      </c>
      <c r="K14" s="7">
        <v>95</v>
      </c>
      <c r="L14" s="7">
        <v>100</v>
      </c>
      <c r="M14" s="7">
        <v>100</v>
      </c>
      <c r="N14" s="7">
        <v>100</v>
      </c>
      <c r="O14" s="13">
        <f t="shared" si="0"/>
        <v>93.194444444444443</v>
      </c>
    </row>
    <row r="15" spans="1:15" ht="15" customHeight="1">
      <c r="A15" s="14" t="s">
        <v>231</v>
      </c>
      <c r="B15" s="14" t="s">
        <v>250</v>
      </c>
      <c r="C15" s="14" t="s">
        <v>251</v>
      </c>
      <c r="D15" s="14" t="s">
        <v>50</v>
      </c>
      <c r="E15" s="7">
        <v>95</v>
      </c>
      <c r="F15" s="7">
        <v>100</v>
      </c>
      <c r="G15" s="7">
        <v>90</v>
      </c>
      <c r="H15" s="7">
        <v>90</v>
      </c>
      <c r="I15" s="7">
        <v>100</v>
      </c>
      <c r="J15" s="7">
        <v>95</v>
      </c>
      <c r="K15" s="7">
        <v>95</v>
      </c>
      <c r="L15" s="7">
        <v>100</v>
      </c>
      <c r="M15" s="7">
        <v>100</v>
      </c>
      <c r="N15" s="7">
        <v>100</v>
      </c>
      <c r="O15" s="13">
        <f t="shared" si="0"/>
        <v>96.805555555555557</v>
      </c>
    </row>
    <row r="16" spans="1:15" ht="15" customHeight="1">
      <c r="A16" s="7" t="s">
        <v>231</v>
      </c>
      <c r="B16" s="7" t="s">
        <v>252</v>
      </c>
      <c r="C16" s="7" t="s">
        <v>253</v>
      </c>
      <c r="D16" s="7" t="s">
        <v>50</v>
      </c>
      <c r="E16" s="7">
        <v>80</v>
      </c>
      <c r="F16" s="7">
        <v>85</v>
      </c>
      <c r="G16" s="7">
        <v>80</v>
      </c>
      <c r="H16" s="7">
        <v>80</v>
      </c>
      <c r="I16" s="7">
        <v>100</v>
      </c>
      <c r="J16" s="7">
        <v>95</v>
      </c>
      <c r="K16" s="7">
        <v>95</v>
      </c>
      <c r="L16" s="7">
        <v>90</v>
      </c>
      <c r="M16" s="7">
        <v>100</v>
      </c>
      <c r="N16" s="7">
        <v>100</v>
      </c>
      <c r="O16" s="13">
        <f t="shared" si="0"/>
        <v>91.527777777777786</v>
      </c>
    </row>
    <row r="17" spans="1:15" ht="15" customHeight="1">
      <c r="A17" s="7" t="s">
        <v>231</v>
      </c>
      <c r="B17" s="7" t="s">
        <v>254</v>
      </c>
      <c r="C17" s="7" t="s">
        <v>255</v>
      </c>
      <c r="D17" s="7" t="s">
        <v>50</v>
      </c>
      <c r="E17" s="7">
        <v>80</v>
      </c>
      <c r="F17" s="7">
        <v>80</v>
      </c>
      <c r="G17" s="7">
        <v>80</v>
      </c>
      <c r="H17" s="7">
        <v>80</v>
      </c>
      <c r="I17" s="7">
        <v>100</v>
      </c>
      <c r="J17" s="7">
        <v>100</v>
      </c>
      <c r="K17" s="7">
        <v>95</v>
      </c>
      <c r="L17" s="7">
        <v>90</v>
      </c>
      <c r="M17" s="7">
        <v>100</v>
      </c>
      <c r="N17" s="7">
        <v>100</v>
      </c>
      <c r="O17" s="13">
        <f t="shared" si="0"/>
        <v>91.666666666666671</v>
      </c>
    </row>
    <row r="18" spans="1:15" ht="15" customHeight="1">
      <c r="A18" s="14" t="s">
        <v>231</v>
      </c>
      <c r="B18" s="14" t="s">
        <v>256</v>
      </c>
      <c r="C18" s="14" t="s">
        <v>257</v>
      </c>
      <c r="D18" s="14" t="s">
        <v>50</v>
      </c>
      <c r="E18" s="7">
        <v>90</v>
      </c>
      <c r="F18" s="7">
        <v>100</v>
      </c>
      <c r="G18" s="7">
        <v>90</v>
      </c>
      <c r="H18" s="7">
        <v>90</v>
      </c>
      <c r="I18" s="7">
        <v>100</v>
      </c>
      <c r="J18" s="7">
        <v>95</v>
      </c>
      <c r="K18" s="7">
        <v>95</v>
      </c>
      <c r="L18" s="7">
        <v>100</v>
      </c>
      <c r="M18" s="7">
        <v>100</v>
      </c>
      <c r="N18" s="7">
        <v>100</v>
      </c>
      <c r="O18" s="13">
        <f t="shared" si="0"/>
        <v>96.3888888888889</v>
      </c>
    </row>
    <row r="19" spans="1:15" ht="15" customHeight="1">
      <c r="A19" s="14" t="s">
        <v>231</v>
      </c>
      <c r="B19" s="14" t="s">
        <v>258</v>
      </c>
      <c r="C19" s="14" t="s">
        <v>259</v>
      </c>
      <c r="D19" s="14" t="s">
        <v>50</v>
      </c>
      <c r="E19" s="7">
        <v>85</v>
      </c>
      <c r="F19" s="7">
        <v>80</v>
      </c>
      <c r="G19" s="7">
        <v>80</v>
      </c>
      <c r="H19" s="7">
        <v>80</v>
      </c>
      <c r="I19" s="7">
        <v>0</v>
      </c>
      <c r="J19" s="7">
        <v>95</v>
      </c>
      <c r="K19" s="7">
        <v>100</v>
      </c>
      <c r="L19" s="7">
        <v>100</v>
      </c>
      <c r="M19" s="7">
        <v>100</v>
      </c>
      <c r="N19" s="7">
        <v>100</v>
      </c>
      <c r="O19" s="13">
        <f t="shared" si="0"/>
        <v>82.083333333333329</v>
      </c>
    </row>
    <row r="20" spans="1:15" ht="15" customHeight="1">
      <c r="A20" s="14" t="s">
        <v>231</v>
      </c>
      <c r="B20" s="14" t="s">
        <v>260</v>
      </c>
      <c r="C20" s="14" t="s">
        <v>261</v>
      </c>
      <c r="D20" s="14" t="s">
        <v>50</v>
      </c>
      <c r="E20" s="7">
        <v>80</v>
      </c>
      <c r="F20" s="7">
        <v>80</v>
      </c>
      <c r="G20" s="7">
        <v>80</v>
      </c>
      <c r="H20" s="7">
        <v>85</v>
      </c>
      <c r="I20" s="7">
        <v>0</v>
      </c>
      <c r="J20" s="7">
        <v>95</v>
      </c>
      <c r="K20" s="7">
        <v>95</v>
      </c>
      <c r="L20" s="7">
        <v>100</v>
      </c>
      <c r="M20" s="7">
        <v>100</v>
      </c>
      <c r="N20" s="7">
        <v>100</v>
      </c>
      <c r="O20" s="13">
        <f t="shared" si="0"/>
        <v>81.527777777777786</v>
      </c>
    </row>
    <row r="21" spans="1:15" ht="15" customHeight="1">
      <c r="A21" s="14" t="s">
        <v>231</v>
      </c>
      <c r="B21" s="14" t="s">
        <v>262</v>
      </c>
      <c r="C21" s="14" t="s">
        <v>263</v>
      </c>
      <c r="D21" s="14" t="s">
        <v>50</v>
      </c>
      <c r="E21" s="7">
        <v>80</v>
      </c>
      <c r="F21" s="7">
        <v>80</v>
      </c>
      <c r="G21" s="7">
        <v>85</v>
      </c>
      <c r="H21" s="7">
        <v>80</v>
      </c>
      <c r="I21" s="7">
        <v>100</v>
      </c>
      <c r="J21" s="7">
        <v>100</v>
      </c>
      <c r="K21" s="7">
        <v>95</v>
      </c>
      <c r="L21" s="7">
        <v>90</v>
      </c>
      <c r="M21" s="7">
        <v>100</v>
      </c>
      <c r="N21" s="7">
        <v>100</v>
      </c>
      <c r="O21" s="13">
        <f t="shared" si="0"/>
        <v>92.083333333333329</v>
      </c>
    </row>
    <row r="22" spans="1:15" ht="15" customHeight="1">
      <c r="A22" s="14" t="s">
        <v>231</v>
      </c>
      <c r="B22" s="14" t="s">
        <v>264</v>
      </c>
      <c r="C22" s="14" t="s">
        <v>265</v>
      </c>
      <c r="D22" s="14" t="s">
        <v>50</v>
      </c>
      <c r="E22" s="7">
        <v>95</v>
      </c>
      <c r="F22" s="7">
        <v>85</v>
      </c>
      <c r="G22" s="7">
        <v>80</v>
      </c>
      <c r="H22" s="7">
        <v>90</v>
      </c>
      <c r="I22" s="7">
        <v>0</v>
      </c>
      <c r="J22" s="7">
        <v>100</v>
      </c>
      <c r="K22" s="7">
        <v>95</v>
      </c>
      <c r="L22" s="7">
        <v>90</v>
      </c>
      <c r="M22" s="7">
        <v>100</v>
      </c>
      <c r="N22" s="7">
        <v>100</v>
      </c>
      <c r="O22" s="13">
        <f t="shared" si="0"/>
        <v>83.055555555555557</v>
      </c>
    </row>
    <row r="23" spans="1:15" ht="15" customHeight="1">
      <c r="A23" s="14" t="s">
        <v>231</v>
      </c>
      <c r="B23" s="14" t="s">
        <v>266</v>
      </c>
      <c r="C23" s="14" t="s">
        <v>267</v>
      </c>
      <c r="D23" s="14" t="s">
        <v>52</v>
      </c>
      <c r="E23" s="7">
        <v>80</v>
      </c>
      <c r="F23" s="7">
        <v>90</v>
      </c>
      <c r="G23" s="7">
        <v>85</v>
      </c>
      <c r="H23" s="7">
        <v>90</v>
      </c>
      <c r="I23" s="7">
        <v>100</v>
      </c>
      <c r="J23" s="7">
        <v>95</v>
      </c>
      <c r="K23" s="7">
        <v>100</v>
      </c>
      <c r="L23" s="7">
        <v>100</v>
      </c>
      <c r="M23" s="7">
        <v>100</v>
      </c>
      <c r="N23" s="7">
        <v>100</v>
      </c>
      <c r="O23" s="13">
        <f t="shared" si="0"/>
        <v>94.8611111111111</v>
      </c>
    </row>
    <row r="24" spans="1:15" ht="15" customHeight="1">
      <c r="A24" s="14" t="s">
        <v>231</v>
      </c>
      <c r="B24" s="14" t="s">
        <v>268</v>
      </c>
      <c r="C24" s="14" t="s">
        <v>269</v>
      </c>
      <c r="D24" s="14" t="s">
        <v>50</v>
      </c>
      <c r="E24" s="7">
        <v>85</v>
      </c>
      <c r="F24" s="7">
        <v>85</v>
      </c>
      <c r="G24" s="7">
        <v>80</v>
      </c>
      <c r="H24" s="7">
        <v>80</v>
      </c>
      <c r="I24" s="7">
        <v>100</v>
      </c>
      <c r="J24" s="7">
        <v>95</v>
      </c>
      <c r="K24" s="7">
        <v>95</v>
      </c>
      <c r="L24" s="7">
        <v>100</v>
      </c>
      <c r="M24" s="7">
        <v>100</v>
      </c>
      <c r="N24" s="7">
        <v>100</v>
      </c>
      <c r="O24" s="13">
        <f t="shared" si="0"/>
        <v>93.055555555555557</v>
      </c>
    </row>
    <row r="25" spans="1:15" ht="15" customHeight="1">
      <c r="A25" s="14" t="s">
        <v>231</v>
      </c>
      <c r="B25" s="14" t="s">
        <v>270</v>
      </c>
      <c r="C25" s="14" t="s">
        <v>271</v>
      </c>
      <c r="D25" s="14" t="s">
        <v>50</v>
      </c>
      <c r="E25" s="7">
        <v>90</v>
      </c>
      <c r="F25" s="7">
        <v>90</v>
      </c>
      <c r="G25" s="7">
        <v>85</v>
      </c>
      <c r="H25" s="7">
        <v>80</v>
      </c>
      <c r="I25" s="7">
        <v>100</v>
      </c>
      <c r="J25" s="7">
        <v>100</v>
      </c>
      <c r="K25" s="7">
        <v>95</v>
      </c>
      <c r="L25" s="7">
        <v>100</v>
      </c>
      <c r="M25" s="7">
        <v>100</v>
      </c>
      <c r="N25" s="7">
        <v>100</v>
      </c>
      <c r="O25" s="13">
        <f t="shared" si="0"/>
        <v>94.8611111111111</v>
      </c>
    </row>
    <row r="26" spans="1:15" ht="15" customHeight="1">
      <c r="A26" s="14" t="s">
        <v>231</v>
      </c>
      <c r="B26" s="14" t="s">
        <v>272</v>
      </c>
      <c r="C26" s="14" t="s">
        <v>273</v>
      </c>
      <c r="D26" s="14" t="s">
        <v>50</v>
      </c>
      <c r="E26" s="7">
        <v>90</v>
      </c>
      <c r="F26" s="7">
        <v>90</v>
      </c>
      <c r="G26" s="7">
        <v>90</v>
      </c>
      <c r="H26" s="7">
        <v>85</v>
      </c>
      <c r="I26" s="7">
        <v>100</v>
      </c>
      <c r="J26" s="7">
        <v>95</v>
      </c>
      <c r="K26" s="7">
        <v>95</v>
      </c>
      <c r="L26" s="7">
        <v>90</v>
      </c>
      <c r="M26" s="7">
        <v>100</v>
      </c>
      <c r="N26" s="7">
        <v>100</v>
      </c>
      <c r="O26" s="13">
        <f t="shared" si="0"/>
        <v>94.027777777777786</v>
      </c>
    </row>
    <row r="27" spans="1:15" ht="15" customHeight="1">
      <c r="A27" s="14" t="s">
        <v>231</v>
      </c>
      <c r="B27" s="14" t="s">
        <v>274</v>
      </c>
      <c r="C27" s="14" t="s">
        <v>275</v>
      </c>
      <c r="D27" s="14" t="s">
        <v>52</v>
      </c>
      <c r="E27" s="7">
        <v>80</v>
      </c>
      <c r="F27" s="7">
        <v>95</v>
      </c>
      <c r="G27" s="7">
        <v>80</v>
      </c>
      <c r="H27" s="7">
        <v>75</v>
      </c>
      <c r="I27" s="7">
        <v>100</v>
      </c>
      <c r="J27" s="7">
        <v>100</v>
      </c>
      <c r="K27" s="7">
        <v>95</v>
      </c>
      <c r="L27" s="7">
        <v>90</v>
      </c>
      <c r="M27" s="7">
        <v>100</v>
      </c>
      <c r="N27" s="7">
        <v>100</v>
      </c>
      <c r="O27" s="13">
        <f t="shared" si="0"/>
        <v>92.5</v>
      </c>
    </row>
    <row r="28" spans="1:15" ht="15" customHeight="1">
      <c r="A28" s="14" t="s">
        <v>231</v>
      </c>
      <c r="B28" s="14" t="s">
        <v>276</v>
      </c>
      <c r="C28" s="14" t="s">
        <v>277</v>
      </c>
      <c r="D28" s="14" t="s">
        <v>50</v>
      </c>
      <c r="E28" s="7">
        <v>90</v>
      </c>
      <c r="F28" s="7">
        <v>85</v>
      </c>
      <c r="G28" s="7">
        <v>85</v>
      </c>
      <c r="H28" s="7">
        <v>85</v>
      </c>
      <c r="I28" s="7">
        <v>100</v>
      </c>
      <c r="J28" s="7">
        <v>100</v>
      </c>
      <c r="K28" s="7">
        <v>95</v>
      </c>
      <c r="L28" s="7">
        <v>100</v>
      </c>
      <c r="M28" s="7">
        <v>100</v>
      </c>
      <c r="N28" s="7">
        <v>100</v>
      </c>
      <c r="O28" s="13">
        <f t="shared" si="0"/>
        <v>94.8611111111111</v>
      </c>
    </row>
    <row r="29" spans="1:15" ht="15" customHeight="1">
      <c r="A29" s="14" t="s">
        <v>231</v>
      </c>
      <c r="B29" s="14" t="s">
        <v>278</v>
      </c>
      <c r="C29" s="14" t="s">
        <v>279</v>
      </c>
      <c r="D29" s="14" t="s">
        <v>50</v>
      </c>
      <c r="E29" s="7">
        <v>100</v>
      </c>
      <c r="F29" s="7">
        <v>95</v>
      </c>
      <c r="G29" s="7">
        <v>95</v>
      </c>
      <c r="H29" s="7">
        <v>95</v>
      </c>
      <c r="I29" s="7">
        <v>100</v>
      </c>
      <c r="J29" s="7">
        <v>95</v>
      </c>
      <c r="K29" s="7">
        <v>100</v>
      </c>
      <c r="L29" s="7">
        <v>100</v>
      </c>
      <c r="M29" s="7">
        <v>100</v>
      </c>
      <c r="N29" s="7">
        <v>100</v>
      </c>
      <c r="O29" s="13">
        <f t="shared" si="0"/>
        <v>98.194444444444443</v>
      </c>
    </row>
    <row r="30" spans="1:15" ht="15" customHeight="1">
      <c r="A30" s="14" t="s">
        <v>231</v>
      </c>
      <c r="B30" s="14" t="s">
        <v>280</v>
      </c>
      <c r="C30" s="14" t="s">
        <v>281</v>
      </c>
      <c r="D30" s="14" t="s">
        <v>50</v>
      </c>
      <c r="E30" s="7">
        <v>90</v>
      </c>
      <c r="F30" s="7">
        <v>100</v>
      </c>
      <c r="G30" s="7">
        <v>90</v>
      </c>
      <c r="H30" s="7">
        <v>90</v>
      </c>
      <c r="I30" s="7">
        <v>100</v>
      </c>
      <c r="J30" s="7">
        <v>95</v>
      </c>
      <c r="K30" s="7">
        <v>95</v>
      </c>
      <c r="L30" s="7">
        <v>100</v>
      </c>
      <c r="M30" s="7">
        <v>100</v>
      </c>
      <c r="N30" s="7">
        <v>100</v>
      </c>
      <c r="O30" s="13">
        <f t="shared" si="0"/>
        <v>96.3888888888889</v>
      </c>
    </row>
    <row r="31" spans="1:15" ht="15" customHeight="1">
      <c r="A31" s="14" t="s">
        <v>231</v>
      </c>
      <c r="B31" s="14" t="s">
        <v>282</v>
      </c>
      <c r="C31" s="14" t="s">
        <v>283</v>
      </c>
      <c r="D31" s="14" t="s">
        <v>50</v>
      </c>
      <c r="E31" s="7">
        <v>85</v>
      </c>
      <c r="F31" s="7">
        <v>85</v>
      </c>
      <c r="G31" s="7">
        <v>80</v>
      </c>
      <c r="H31" s="7">
        <v>85</v>
      </c>
      <c r="I31" s="7">
        <v>100</v>
      </c>
      <c r="J31" s="7">
        <v>100</v>
      </c>
      <c r="K31" s="7">
        <v>95</v>
      </c>
      <c r="L31" s="7">
        <v>90</v>
      </c>
      <c r="M31" s="7">
        <v>100</v>
      </c>
      <c r="N31" s="7">
        <v>100</v>
      </c>
      <c r="O31" s="13">
        <f t="shared" si="0"/>
        <v>92.916666666666671</v>
      </c>
    </row>
    <row r="32" spans="1:15" ht="15" customHeight="1">
      <c r="A32" s="7" t="s">
        <v>231</v>
      </c>
      <c r="B32" s="7" t="s">
        <v>284</v>
      </c>
      <c r="C32" s="7" t="s">
        <v>285</v>
      </c>
      <c r="D32" s="7" t="s">
        <v>50</v>
      </c>
      <c r="E32" s="7">
        <v>90</v>
      </c>
      <c r="F32" s="7">
        <v>90</v>
      </c>
      <c r="G32" s="7">
        <v>90</v>
      </c>
      <c r="H32" s="7">
        <v>0</v>
      </c>
      <c r="I32" s="7">
        <v>100</v>
      </c>
      <c r="J32" s="7">
        <v>95</v>
      </c>
      <c r="K32" s="7">
        <v>95</v>
      </c>
      <c r="L32" s="7">
        <v>90</v>
      </c>
      <c r="M32" s="7">
        <v>100</v>
      </c>
      <c r="N32" s="7">
        <v>100</v>
      </c>
      <c r="O32" s="13">
        <f t="shared" si="0"/>
        <v>86.944444444444457</v>
      </c>
    </row>
    <row r="33" spans="1:15" ht="15" customHeight="1">
      <c r="A33" s="7" t="s">
        <v>231</v>
      </c>
      <c r="B33" s="7" t="s">
        <v>286</v>
      </c>
      <c r="C33" s="7" t="s">
        <v>287</v>
      </c>
      <c r="D33" s="7" t="s">
        <v>50</v>
      </c>
      <c r="E33" s="7">
        <v>80</v>
      </c>
      <c r="F33" s="7">
        <v>85</v>
      </c>
      <c r="G33" s="7">
        <v>80</v>
      </c>
      <c r="H33" s="7">
        <v>85</v>
      </c>
      <c r="I33" s="7">
        <v>100</v>
      </c>
      <c r="J33" s="7">
        <v>95</v>
      </c>
      <c r="K33" s="7">
        <v>95</v>
      </c>
      <c r="L33" s="7">
        <v>100</v>
      </c>
      <c r="M33" s="7">
        <v>100</v>
      </c>
      <c r="N33" s="7">
        <v>100</v>
      </c>
      <c r="O33" s="13">
        <f t="shared" si="0"/>
        <v>93.055555555555557</v>
      </c>
    </row>
    <row r="34" spans="1:15" ht="15" customHeight="1">
      <c r="A34" s="7" t="s">
        <v>231</v>
      </c>
      <c r="B34" s="7" t="s">
        <v>288</v>
      </c>
      <c r="C34" s="7" t="s">
        <v>289</v>
      </c>
      <c r="D34" s="7" t="s">
        <v>52</v>
      </c>
      <c r="E34" s="7">
        <v>90</v>
      </c>
      <c r="F34" s="7">
        <v>90</v>
      </c>
      <c r="G34" s="7">
        <v>85</v>
      </c>
      <c r="H34" s="7">
        <v>90</v>
      </c>
      <c r="I34" s="7">
        <v>100</v>
      </c>
      <c r="J34" s="7">
        <v>100</v>
      </c>
      <c r="K34" s="7">
        <v>95</v>
      </c>
      <c r="L34" s="7">
        <v>100</v>
      </c>
      <c r="M34" s="7">
        <v>100</v>
      </c>
      <c r="N34" s="7">
        <v>100</v>
      </c>
      <c r="O34" s="13">
        <f t="shared" si="0"/>
        <v>95.694444444444443</v>
      </c>
    </row>
  </sheetData>
  <mergeCells count="13">
    <mergeCell ref="O4:O5"/>
    <mergeCell ref="F2:I3"/>
    <mergeCell ref="J2:L3"/>
    <mergeCell ref="C2:E3"/>
    <mergeCell ref="A2:B3"/>
    <mergeCell ref="A1:B1"/>
    <mergeCell ref="C1:E1"/>
    <mergeCell ref="F1:I1"/>
    <mergeCell ref="J1:L1"/>
    <mergeCell ref="A4:A5"/>
    <mergeCell ref="B4:B5"/>
    <mergeCell ref="C4:C5"/>
    <mergeCell ref="D4:D5"/>
  </mergeCells>
  <phoneticPr fontId="18" type="noConversion"/>
  <conditionalFormatting sqref="C6:C15 C18:C31">
    <cfRule type="duplicateValues" dxfId="0" priority="1"/>
  </conditionalFormatting>
  <pageMargins left="0.75" right="0.75" top="1" bottom="1" header="0.5" footer="0.5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EO54"/>
  <sheetViews>
    <sheetView workbookViewId="0">
      <selection activeCell="A6" sqref="A6:O33"/>
    </sheetView>
  </sheetViews>
  <sheetFormatPr defaultColWidth="10" defaultRowHeight="14.25"/>
  <cols>
    <col min="1" max="1" width="10" style="1"/>
    <col min="2" max="2" width="11.375" style="1" customWidth="1"/>
    <col min="3" max="3" width="8.375" style="1" customWidth="1"/>
    <col min="4" max="4" width="4.75" style="1" customWidth="1"/>
    <col min="5" max="8" width="10.75" style="1" customWidth="1"/>
    <col min="9" max="14" width="7.375" style="1" customWidth="1"/>
    <col min="15" max="15" width="7.375" style="2" customWidth="1"/>
    <col min="16" max="16369" width="10" style="1"/>
  </cols>
  <sheetData>
    <row r="1" spans="1:15" s="1" customFormat="1" ht="17.25">
      <c r="A1" s="55" t="s">
        <v>0</v>
      </c>
      <c r="B1" s="56"/>
      <c r="C1" s="55" t="s">
        <v>1</v>
      </c>
      <c r="D1" s="57"/>
      <c r="E1" s="57"/>
      <c r="F1" s="58" t="s">
        <v>330</v>
      </c>
      <c r="G1" s="59"/>
      <c r="H1" s="59"/>
      <c r="I1" s="59"/>
      <c r="J1" s="55" t="s">
        <v>326</v>
      </c>
      <c r="K1" s="55"/>
      <c r="L1" s="55"/>
    </row>
    <row r="2" spans="1:15" s="1" customFormat="1">
      <c r="A2" s="99" t="s">
        <v>4</v>
      </c>
      <c r="B2" s="99"/>
      <c r="C2" s="98" t="s">
        <v>290</v>
      </c>
      <c r="D2" s="98"/>
      <c r="E2" s="98"/>
      <c r="F2" s="69" t="s">
        <v>6</v>
      </c>
      <c r="G2" s="70"/>
      <c r="H2" s="70"/>
      <c r="I2" s="70"/>
      <c r="J2" s="72" t="s">
        <v>7</v>
      </c>
      <c r="K2" s="73"/>
      <c r="L2" s="73"/>
    </row>
    <row r="3" spans="1:15" s="1" customFormat="1">
      <c r="A3" s="99"/>
      <c r="B3" s="99"/>
      <c r="C3" s="98"/>
      <c r="D3" s="98"/>
      <c r="E3" s="98"/>
      <c r="F3" s="71"/>
      <c r="G3" s="71"/>
      <c r="H3" s="71"/>
      <c r="I3" s="71"/>
      <c r="J3" s="73"/>
      <c r="K3" s="73"/>
      <c r="L3" s="73"/>
    </row>
    <row r="4" spans="1:15" s="1" customFormat="1" ht="33">
      <c r="A4" s="63" t="s">
        <v>9</v>
      </c>
      <c r="B4" s="65" t="s">
        <v>10</v>
      </c>
      <c r="C4" s="65" t="s">
        <v>11</v>
      </c>
      <c r="D4" s="65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 t="s">
        <v>33</v>
      </c>
    </row>
    <row r="5" spans="1:15" s="1" customFormat="1" ht="16.5">
      <c r="A5" s="64"/>
      <c r="B5" s="66"/>
      <c r="C5" s="66"/>
      <c r="D5" s="67"/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34</v>
      </c>
      <c r="M5" s="10" t="s">
        <v>35</v>
      </c>
      <c r="N5" s="10" t="s">
        <v>36</v>
      </c>
      <c r="O5" s="12"/>
    </row>
    <row r="6" spans="1:15" customFormat="1" ht="17.100000000000001" customHeight="1">
      <c r="A6" s="7" t="s">
        <v>48</v>
      </c>
      <c r="B6" s="7">
        <v>1810300114</v>
      </c>
      <c r="C6" s="7" t="s">
        <v>49</v>
      </c>
      <c r="D6" s="7" t="s">
        <v>50</v>
      </c>
      <c r="E6" s="7">
        <v>100</v>
      </c>
      <c r="F6" s="7">
        <v>95</v>
      </c>
      <c r="G6" s="7">
        <v>95</v>
      </c>
      <c r="H6" s="7">
        <v>95</v>
      </c>
      <c r="I6" s="7">
        <v>95</v>
      </c>
      <c r="J6" s="7">
        <v>100</v>
      </c>
      <c r="K6" s="7">
        <v>100</v>
      </c>
      <c r="L6" s="7">
        <v>100</v>
      </c>
      <c r="M6" s="7">
        <v>100</v>
      </c>
      <c r="N6" s="7">
        <v>100</v>
      </c>
      <c r="O6" s="13">
        <f t="shared" ref="O6:O33" si="0">(AVERAGE(E6:H6)+AVERAGE(I6:K6)+AVERAGE(L6:N6))/3</f>
        <v>98.194444444444443</v>
      </c>
    </row>
    <row r="7" spans="1:15" customFormat="1" ht="17.100000000000001" customHeight="1">
      <c r="A7" s="7" t="s">
        <v>48</v>
      </c>
      <c r="B7" s="7">
        <v>1810300126</v>
      </c>
      <c r="C7" s="7" t="s">
        <v>51</v>
      </c>
      <c r="D7" s="7" t="s">
        <v>52</v>
      </c>
      <c r="E7" s="7">
        <v>100</v>
      </c>
      <c r="F7" s="7">
        <v>95</v>
      </c>
      <c r="G7" s="7">
        <v>95</v>
      </c>
      <c r="H7" s="7">
        <v>100</v>
      </c>
      <c r="I7" s="7">
        <v>95</v>
      </c>
      <c r="J7" s="7">
        <v>95</v>
      </c>
      <c r="K7" s="7">
        <v>95</v>
      </c>
      <c r="L7" s="7">
        <v>100</v>
      </c>
      <c r="M7" s="7">
        <v>100</v>
      </c>
      <c r="N7" s="7">
        <v>100</v>
      </c>
      <c r="O7" s="13">
        <f t="shared" si="0"/>
        <v>97.5</v>
      </c>
    </row>
    <row r="8" spans="1:15" customFormat="1" ht="17.100000000000001" customHeight="1">
      <c r="A8" s="7" t="s">
        <v>48</v>
      </c>
      <c r="B8" s="7">
        <v>1810300204</v>
      </c>
      <c r="C8" s="7" t="s">
        <v>53</v>
      </c>
      <c r="D8" s="7" t="s">
        <v>50</v>
      </c>
      <c r="E8" s="7">
        <v>85</v>
      </c>
      <c r="F8" s="7">
        <v>80</v>
      </c>
      <c r="G8" s="7">
        <v>80</v>
      </c>
      <c r="H8" s="7">
        <v>80</v>
      </c>
      <c r="I8" s="7">
        <v>90</v>
      </c>
      <c r="J8" s="7">
        <v>95</v>
      </c>
      <c r="K8" s="7">
        <v>95</v>
      </c>
      <c r="L8" s="7">
        <v>0</v>
      </c>
      <c r="M8" s="7">
        <v>100</v>
      </c>
      <c r="N8" s="7">
        <v>100</v>
      </c>
      <c r="O8" s="13">
        <f t="shared" si="0"/>
        <v>80.416666666666671</v>
      </c>
    </row>
    <row r="9" spans="1:15" customFormat="1" ht="17.100000000000001" customHeight="1">
      <c r="A9" s="7" t="s">
        <v>48</v>
      </c>
      <c r="B9" s="7">
        <v>1810300226</v>
      </c>
      <c r="C9" s="7" t="s">
        <v>54</v>
      </c>
      <c r="D9" s="7" t="s">
        <v>52</v>
      </c>
      <c r="E9" s="7">
        <v>95</v>
      </c>
      <c r="F9" s="7">
        <v>100</v>
      </c>
      <c r="G9" s="7">
        <v>100</v>
      </c>
      <c r="H9" s="7">
        <v>90</v>
      </c>
      <c r="I9" s="7">
        <v>95</v>
      </c>
      <c r="J9" s="7">
        <v>100</v>
      </c>
      <c r="K9" s="7">
        <v>95</v>
      </c>
      <c r="L9" s="7">
        <v>100</v>
      </c>
      <c r="M9" s="7">
        <v>100</v>
      </c>
      <c r="N9" s="7">
        <v>100</v>
      </c>
      <c r="O9" s="13">
        <f t="shared" si="0"/>
        <v>97.6388888888889</v>
      </c>
    </row>
    <row r="10" spans="1:15" customFormat="1" ht="17.100000000000001" customHeight="1">
      <c r="A10" s="7" t="s">
        <v>48</v>
      </c>
      <c r="B10" s="7">
        <v>1810300309</v>
      </c>
      <c r="C10" s="7" t="s">
        <v>55</v>
      </c>
      <c r="D10" s="7" t="s">
        <v>50</v>
      </c>
      <c r="E10" s="7">
        <v>100</v>
      </c>
      <c r="F10" s="7">
        <v>100</v>
      </c>
      <c r="G10" s="7">
        <v>95</v>
      </c>
      <c r="H10" s="7">
        <v>90</v>
      </c>
      <c r="I10" s="7">
        <v>95</v>
      </c>
      <c r="J10" s="7">
        <v>100</v>
      </c>
      <c r="K10" s="7">
        <v>95</v>
      </c>
      <c r="L10" s="7">
        <v>100</v>
      </c>
      <c r="M10" s="7">
        <v>100</v>
      </c>
      <c r="N10" s="7">
        <v>100</v>
      </c>
      <c r="O10" s="13">
        <f t="shared" si="0"/>
        <v>97.6388888888889</v>
      </c>
    </row>
    <row r="11" spans="1:15" customFormat="1" ht="17.100000000000001" customHeight="1">
      <c r="A11" s="7" t="s">
        <v>48</v>
      </c>
      <c r="B11" s="7">
        <v>1810300320</v>
      </c>
      <c r="C11" s="7" t="s">
        <v>56</v>
      </c>
      <c r="D11" s="7" t="s">
        <v>50</v>
      </c>
      <c r="E11" s="7">
        <v>95</v>
      </c>
      <c r="F11" s="7">
        <v>90</v>
      </c>
      <c r="G11" s="7">
        <v>90</v>
      </c>
      <c r="H11" s="7">
        <v>90</v>
      </c>
      <c r="I11" s="7">
        <v>95</v>
      </c>
      <c r="J11" s="7">
        <v>95</v>
      </c>
      <c r="K11" s="7">
        <v>100</v>
      </c>
      <c r="L11" s="7">
        <v>100</v>
      </c>
      <c r="M11" s="7">
        <v>100</v>
      </c>
      <c r="N11" s="7">
        <v>100</v>
      </c>
      <c r="O11" s="13">
        <f t="shared" si="0"/>
        <v>95.972222222222229</v>
      </c>
    </row>
    <row r="12" spans="1:15" customFormat="1" ht="17.100000000000001" customHeight="1">
      <c r="A12" s="7" t="s">
        <v>48</v>
      </c>
      <c r="B12" s="7">
        <v>1810300332</v>
      </c>
      <c r="C12" s="7" t="s">
        <v>57</v>
      </c>
      <c r="D12" s="7" t="s">
        <v>52</v>
      </c>
      <c r="E12" s="7">
        <v>95</v>
      </c>
      <c r="F12" s="7">
        <v>100</v>
      </c>
      <c r="G12" s="7">
        <v>90</v>
      </c>
      <c r="H12" s="7">
        <v>100</v>
      </c>
      <c r="I12" s="7">
        <v>100</v>
      </c>
      <c r="J12" s="7">
        <v>95</v>
      </c>
      <c r="K12" s="7">
        <v>95</v>
      </c>
      <c r="L12" s="7">
        <v>100</v>
      </c>
      <c r="M12" s="7">
        <v>100</v>
      </c>
      <c r="N12" s="7">
        <v>100</v>
      </c>
      <c r="O12" s="13">
        <f t="shared" si="0"/>
        <v>97.6388888888889</v>
      </c>
    </row>
    <row r="13" spans="1:15" customFormat="1" ht="17.100000000000001" customHeight="1">
      <c r="A13" s="7" t="s">
        <v>48</v>
      </c>
      <c r="B13" s="7">
        <v>1810300407</v>
      </c>
      <c r="C13" s="7" t="s">
        <v>58</v>
      </c>
      <c r="D13" s="7" t="s">
        <v>50</v>
      </c>
      <c r="E13" s="7">
        <v>95</v>
      </c>
      <c r="F13" s="7">
        <v>100</v>
      </c>
      <c r="G13" s="7">
        <v>100</v>
      </c>
      <c r="H13" s="7">
        <v>100</v>
      </c>
      <c r="I13" s="7">
        <v>95</v>
      </c>
      <c r="J13" s="7">
        <v>100</v>
      </c>
      <c r="K13" s="7">
        <v>100</v>
      </c>
      <c r="L13" s="7">
        <v>100</v>
      </c>
      <c r="M13" s="7">
        <v>100</v>
      </c>
      <c r="N13" s="7">
        <v>100</v>
      </c>
      <c r="O13" s="13">
        <f t="shared" si="0"/>
        <v>99.027777777777771</v>
      </c>
    </row>
    <row r="14" spans="1:15" customFormat="1" ht="17.100000000000001" customHeight="1">
      <c r="A14" s="7" t="s">
        <v>48</v>
      </c>
      <c r="B14" s="7">
        <v>1810300410</v>
      </c>
      <c r="C14" s="7" t="s">
        <v>59</v>
      </c>
      <c r="D14" s="7" t="s">
        <v>50</v>
      </c>
      <c r="E14" s="7">
        <v>100</v>
      </c>
      <c r="F14" s="7">
        <v>100</v>
      </c>
      <c r="G14" s="7">
        <v>100</v>
      </c>
      <c r="H14" s="7">
        <v>100</v>
      </c>
      <c r="I14" s="7">
        <v>95</v>
      </c>
      <c r="J14" s="7">
        <v>100</v>
      </c>
      <c r="K14" s="7">
        <v>100</v>
      </c>
      <c r="L14" s="7">
        <v>100</v>
      </c>
      <c r="M14" s="7">
        <v>100</v>
      </c>
      <c r="N14" s="7">
        <v>100</v>
      </c>
      <c r="O14" s="13">
        <f t="shared" si="0"/>
        <v>99.444444444444443</v>
      </c>
    </row>
    <row r="15" spans="1:15" customFormat="1" ht="17.100000000000001" customHeight="1">
      <c r="A15" s="7" t="s">
        <v>48</v>
      </c>
      <c r="B15" s="7">
        <v>1810300510</v>
      </c>
      <c r="C15" s="7" t="s">
        <v>60</v>
      </c>
      <c r="D15" s="7" t="s">
        <v>50</v>
      </c>
      <c r="E15" s="7">
        <v>100</v>
      </c>
      <c r="F15" s="7">
        <v>100</v>
      </c>
      <c r="G15" s="7">
        <v>100</v>
      </c>
      <c r="H15" s="7">
        <v>100</v>
      </c>
      <c r="I15" s="7">
        <v>95</v>
      </c>
      <c r="J15" s="7">
        <v>100</v>
      </c>
      <c r="K15" s="7">
        <v>95</v>
      </c>
      <c r="L15" s="7">
        <v>100</v>
      </c>
      <c r="M15" s="7">
        <v>100</v>
      </c>
      <c r="N15" s="7">
        <v>100</v>
      </c>
      <c r="O15" s="13">
        <f t="shared" si="0"/>
        <v>98.8888888888889</v>
      </c>
    </row>
    <row r="16" spans="1:15" customFormat="1" ht="17.100000000000001" customHeight="1">
      <c r="A16" s="7" t="s">
        <v>48</v>
      </c>
      <c r="B16" s="7">
        <v>1810300616</v>
      </c>
      <c r="C16" s="7" t="s">
        <v>61</v>
      </c>
      <c r="D16" s="7" t="s">
        <v>50</v>
      </c>
      <c r="E16" s="7">
        <v>85</v>
      </c>
      <c r="F16" s="7">
        <v>80</v>
      </c>
      <c r="G16" s="7">
        <v>90</v>
      </c>
      <c r="H16" s="7">
        <v>90</v>
      </c>
      <c r="I16" s="7">
        <v>100</v>
      </c>
      <c r="J16" s="7">
        <v>100</v>
      </c>
      <c r="K16" s="7">
        <v>100</v>
      </c>
      <c r="L16" s="7">
        <v>100</v>
      </c>
      <c r="M16" s="7">
        <v>100</v>
      </c>
      <c r="N16" s="7">
        <v>100</v>
      </c>
      <c r="O16" s="13">
        <f t="shared" si="0"/>
        <v>95.416666666666671</v>
      </c>
    </row>
    <row r="17" spans="1:15" customFormat="1" ht="17.100000000000001" customHeight="1">
      <c r="A17" s="7" t="s">
        <v>48</v>
      </c>
      <c r="B17" s="7">
        <v>1810300614</v>
      </c>
      <c r="C17" s="7" t="s">
        <v>62</v>
      </c>
      <c r="D17" s="7" t="s">
        <v>50</v>
      </c>
      <c r="E17" s="7">
        <v>95</v>
      </c>
      <c r="F17" s="7">
        <v>90</v>
      </c>
      <c r="G17" s="7">
        <v>90</v>
      </c>
      <c r="H17" s="7">
        <v>100</v>
      </c>
      <c r="I17" s="7">
        <v>100</v>
      </c>
      <c r="J17" s="7">
        <v>100</v>
      </c>
      <c r="K17" s="7">
        <v>100</v>
      </c>
      <c r="L17" s="7">
        <v>100</v>
      </c>
      <c r="M17" s="7">
        <v>100</v>
      </c>
      <c r="N17" s="7">
        <v>100</v>
      </c>
      <c r="O17" s="13">
        <f t="shared" si="0"/>
        <v>97.916666666666671</v>
      </c>
    </row>
    <row r="18" spans="1:15" customFormat="1" ht="17.100000000000001" customHeight="1">
      <c r="A18" s="7" t="s">
        <v>48</v>
      </c>
      <c r="B18" s="7">
        <v>1810300615</v>
      </c>
      <c r="C18" s="7" t="s">
        <v>63</v>
      </c>
      <c r="D18" s="7" t="s">
        <v>50</v>
      </c>
      <c r="E18" s="7">
        <v>95</v>
      </c>
      <c r="F18" s="7">
        <v>100</v>
      </c>
      <c r="G18" s="7">
        <v>100</v>
      </c>
      <c r="H18" s="7">
        <v>100</v>
      </c>
      <c r="I18" s="7">
        <v>100</v>
      </c>
      <c r="J18" s="7">
        <v>95</v>
      </c>
      <c r="K18" s="7">
        <v>100</v>
      </c>
      <c r="L18" s="7">
        <v>100</v>
      </c>
      <c r="M18" s="7">
        <v>100</v>
      </c>
      <c r="N18" s="7">
        <v>100</v>
      </c>
      <c r="O18" s="13">
        <f t="shared" si="0"/>
        <v>99.027777777777771</v>
      </c>
    </row>
    <row r="19" spans="1:15" customFormat="1" ht="17.100000000000001" customHeight="1">
      <c r="A19" s="7" t="s">
        <v>48</v>
      </c>
      <c r="B19" s="7">
        <v>1810300618</v>
      </c>
      <c r="C19" s="7" t="s">
        <v>64</v>
      </c>
      <c r="D19" s="7" t="s">
        <v>50</v>
      </c>
      <c r="E19" s="7">
        <v>90</v>
      </c>
      <c r="F19" s="7">
        <v>80</v>
      </c>
      <c r="G19" s="7">
        <v>80</v>
      </c>
      <c r="H19" s="7">
        <v>80</v>
      </c>
      <c r="I19" s="7">
        <v>90</v>
      </c>
      <c r="J19" s="7">
        <v>100</v>
      </c>
      <c r="K19" s="7">
        <v>100</v>
      </c>
      <c r="L19" s="7">
        <v>100</v>
      </c>
      <c r="M19" s="7">
        <v>100</v>
      </c>
      <c r="N19" s="7">
        <v>100</v>
      </c>
      <c r="O19" s="13">
        <f t="shared" si="0"/>
        <v>93.055555555555557</v>
      </c>
    </row>
    <row r="20" spans="1:15" customFormat="1" ht="17.100000000000001" customHeight="1">
      <c r="A20" s="7" t="s">
        <v>48</v>
      </c>
      <c r="B20" s="7">
        <v>1810300619</v>
      </c>
      <c r="C20" s="7" t="s">
        <v>65</v>
      </c>
      <c r="D20" s="7" t="s">
        <v>50</v>
      </c>
      <c r="E20" s="7">
        <v>80</v>
      </c>
      <c r="F20" s="7">
        <v>80</v>
      </c>
      <c r="G20" s="7">
        <v>80</v>
      </c>
      <c r="H20" s="7">
        <v>80</v>
      </c>
      <c r="I20" s="7"/>
      <c r="J20" s="7">
        <v>100</v>
      </c>
      <c r="K20" s="7">
        <v>100</v>
      </c>
      <c r="L20" s="7">
        <v>100</v>
      </c>
      <c r="M20" s="7">
        <v>100</v>
      </c>
      <c r="N20" s="7">
        <v>100</v>
      </c>
      <c r="O20" s="13">
        <f t="shared" si="0"/>
        <v>93.333333333333329</v>
      </c>
    </row>
    <row r="21" spans="1:15" customFormat="1" ht="17.100000000000001" customHeight="1">
      <c r="A21" s="7" t="s">
        <v>48</v>
      </c>
      <c r="B21" s="7">
        <v>1810300706</v>
      </c>
      <c r="C21" s="7" t="s">
        <v>66</v>
      </c>
      <c r="D21" s="7" t="s">
        <v>50</v>
      </c>
      <c r="E21" s="7">
        <v>85</v>
      </c>
      <c r="F21" s="7">
        <v>80</v>
      </c>
      <c r="G21" s="7">
        <v>85</v>
      </c>
      <c r="H21" s="7">
        <v>85</v>
      </c>
      <c r="I21" s="7">
        <v>95</v>
      </c>
      <c r="J21" s="7">
        <v>100</v>
      </c>
      <c r="K21" s="7">
        <v>100</v>
      </c>
      <c r="L21" s="7">
        <v>100</v>
      </c>
      <c r="M21" s="7">
        <v>100</v>
      </c>
      <c r="N21" s="7">
        <v>100</v>
      </c>
      <c r="O21" s="13">
        <f t="shared" si="0"/>
        <v>94.027777777777771</v>
      </c>
    </row>
    <row r="22" spans="1:15" customFormat="1" ht="17.100000000000001" customHeight="1">
      <c r="A22" s="7" t="s">
        <v>48</v>
      </c>
      <c r="B22" s="7">
        <v>1810300711</v>
      </c>
      <c r="C22" s="7" t="s">
        <v>67</v>
      </c>
      <c r="D22" s="7" t="s">
        <v>50</v>
      </c>
      <c r="E22" s="7">
        <v>85</v>
      </c>
      <c r="F22" s="7">
        <v>80</v>
      </c>
      <c r="G22" s="7">
        <v>85</v>
      </c>
      <c r="H22" s="7">
        <v>85</v>
      </c>
      <c r="I22" s="7">
        <v>100</v>
      </c>
      <c r="J22" s="7">
        <v>100</v>
      </c>
      <c r="K22" s="7">
        <v>100</v>
      </c>
      <c r="L22" s="7">
        <v>100</v>
      </c>
      <c r="M22" s="7">
        <v>100</v>
      </c>
      <c r="N22" s="7">
        <v>100</v>
      </c>
      <c r="O22" s="13">
        <f t="shared" si="0"/>
        <v>94.583333333333329</v>
      </c>
    </row>
    <row r="23" spans="1:15" customFormat="1" ht="17.100000000000001" customHeight="1">
      <c r="A23" s="7" t="s">
        <v>48</v>
      </c>
      <c r="B23" s="7">
        <v>1810300713</v>
      </c>
      <c r="C23" s="7" t="s">
        <v>68</v>
      </c>
      <c r="D23" s="7" t="s">
        <v>50</v>
      </c>
      <c r="E23" s="7">
        <v>90</v>
      </c>
      <c r="F23" s="7">
        <v>80</v>
      </c>
      <c r="G23" s="7">
        <v>80</v>
      </c>
      <c r="H23" s="7">
        <v>80</v>
      </c>
      <c r="I23" s="7">
        <v>90</v>
      </c>
      <c r="J23" s="7">
        <v>95</v>
      </c>
      <c r="K23" s="7">
        <v>100</v>
      </c>
      <c r="L23" s="7">
        <v>100</v>
      </c>
      <c r="M23" s="7">
        <v>100</v>
      </c>
      <c r="N23" s="7">
        <v>100</v>
      </c>
      <c r="O23" s="13">
        <f t="shared" si="0"/>
        <v>92.5</v>
      </c>
    </row>
    <row r="24" spans="1:15" customFormat="1" ht="17.100000000000001" customHeight="1">
      <c r="A24" s="7" t="s">
        <v>48</v>
      </c>
      <c r="B24" s="7">
        <v>1810300720</v>
      </c>
      <c r="C24" s="7" t="s">
        <v>69</v>
      </c>
      <c r="D24" s="7" t="s">
        <v>50</v>
      </c>
      <c r="E24" s="7">
        <v>90</v>
      </c>
      <c r="F24" s="7">
        <v>85</v>
      </c>
      <c r="G24" s="7">
        <v>85</v>
      </c>
      <c r="H24" s="7">
        <v>90</v>
      </c>
      <c r="I24" s="7">
        <v>100</v>
      </c>
      <c r="J24" s="7">
        <v>100</v>
      </c>
      <c r="K24" s="7">
        <v>100</v>
      </c>
      <c r="L24" s="7">
        <v>100</v>
      </c>
      <c r="M24" s="7">
        <v>100</v>
      </c>
      <c r="N24" s="7">
        <v>100</v>
      </c>
      <c r="O24" s="13">
        <f t="shared" si="0"/>
        <v>95.833333333333329</v>
      </c>
    </row>
    <row r="25" spans="1:15" customFormat="1" ht="17.100000000000001" customHeight="1">
      <c r="A25" s="7" t="s">
        <v>48</v>
      </c>
      <c r="B25" s="7">
        <v>1810300722</v>
      </c>
      <c r="C25" s="7" t="s">
        <v>70</v>
      </c>
      <c r="D25" s="7" t="s">
        <v>50</v>
      </c>
      <c r="E25" s="7">
        <v>85</v>
      </c>
      <c r="F25" s="7">
        <v>90</v>
      </c>
      <c r="G25" s="7">
        <v>80</v>
      </c>
      <c r="H25" s="7">
        <v>80</v>
      </c>
      <c r="I25" s="7">
        <v>95</v>
      </c>
      <c r="J25" s="7">
        <v>100</v>
      </c>
      <c r="K25" s="7">
        <v>95</v>
      </c>
      <c r="L25" s="7">
        <v>100</v>
      </c>
      <c r="M25" s="7">
        <v>100</v>
      </c>
      <c r="N25" s="7">
        <v>100</v>
      </c>
      <c r="O25" s="13">
        <f t="shared" si="0"/>
        <v>93.472222222222229</v>
      </c>
    </row>
    <row r="26" spans="1:15" customFormat="1" ht="17.100000000000001" customHeight="1">
      <c r="A26" s="7" t="s">
        <v>48</v>
      </c>
      <c r="B26" s="7">
        <v>1810300801</v>
      </c>
      <c r="C26" s="7" t="s">
        <v>71</v>
      </c>
      <c r="D26" s="7" t="s">
        <v>50</v>
      </c>
      <c r="E26" s="7">
        <v>80</v>
      </c>
      <c r="F26" s="7">
        <v>80</v>
      </c>
      <c r="G26" s="7">
        <v>85</v>
      </c>
      <c r="H26" s="7">
        <v>80</v>
      </c>
      <c r="I26" s="7">
        <v>85</v>
      </c>
      <c r="J26" s="7">
        <v>100</v>
      </c>
      <c r="K26" s="7">
        <v>100</v>
      </c>
      <c r="L26" s="7">
        <v>100</v>
      </c>
      <c r="M26" s="7">
        <v>100</v>
      </c>
      <c r="N26" s="7">
        <v>100</v>
      </c>
      <c r="O26" s="13">
        <f t="shared" si="0"/>
        <v>92.083333333333329</v>
      </c>
    </row>
    <row r="27" spans="1:15" customFormat="1" ht="17.100000000000001" customHeight="1">
      <c r="A27" s="7" t="s">
        <v>48</v>
      </c>
      <c r="B27" s="7">
        <v>1810300814</v>
      </c>
      <c r="C27" s="7" t="s">
        <v>72</v>
      </c>
      <c r="D27" s="7" t="s">
        <v>50</v>
      </c>
      <c r="E27" s="7">
        <v>80</v>
      </c>
      <c r="F27" s="7">
        <v>80</v>
      </c>
      <c r="G27" s="7">
        <v>85</v>
      </c>
      <c r="H27" s="7">
        <v>80</v>
      </c>
      <c r="I27" s="7">
        <v>85</v>
      </c>
      <c r="J27" s="7">
        <v>100</v>
      </c>
      <c r="K27" s="7">
        <v>95</v>
      </c>
      <c r="L27" s="7">
        <v>80</v>
      </c>
      <c r="M27" s="7">
        <v>100</v>
      </c>
      <c r="N27" s="7">
        <v>100</v>
      </c>
      <c r="O27" s="13">
        <f t="shared" si="0"/>
        <v>89.305555555555543</v>
      </c>
    </row>
    <row r="28" spans="1:15" customFormat="1" ht="17.100000000000001" customHeight="1">
      <c r="A28" s="7" t="s">
        <v>48</v>
      </c>
      <c r="B28" s="7">
        <v>1810300918</v>
      </c>
      <c r="C28" s="7" t="s">
        <v>73</v>
      </c>
      <c r="D28" s="7" t="s">
        <v>50</v>
      </c>
      <c r="E28" s="7">
        <v>100</v>
      </c>
      <c r="F28" s="7">
        <v>95</v>
      </c>
      <c r="G28" s="7">
        <v>95</v>
      </c>
      <c r="H28" s="7">
        <v>100</v>
      </c>
      <c r="I28" s="7">
        <v>95</v>
      </c>
      <c r="J28" s="7">
        <v>100</v>
      </c>
      <c r="K28" s="7">
        <v>100</v>
      </c>
      <c r="L28" s="7">
        <v>100</v>
      </c>
      <c r="M28" s="7">
        <v>100</v>
      </c>
      <c r="N28" s="7">
        <v>100</v>
      </c>
      <c r="O28" s="13">
        <f t="shared" si="0"/>
        <v>98.6111111111111</v>
      </c>
    </row>
    <row r="29" spans="1:15" customFormat="1" ht="17.100000000000001" customHeight="1">
      <c r="A29" s="7" t="s">
        <v>48</v>
      </c>
      <c r="B29" s="7">
        <v>1810301028</v>
      </c>
      <c r="C29" s="7" t="s">
        <v>74</v>
      </c>
      <c r="D29" s="7" t="s">
        <v>52</v>
      </c>
      <c r="E29" s="7">
        <v>95</v>
      </c>
      <c r="F29" s="7">
        <v>85</v>
      </c>
      <c r="G29" s="7">
        <v>85</v>
      </c>
      <c r="H29" s="7">
        <v>80</v>
      </c>
      <c r="I29" s="7">
        <v>90</v>
      </c>
      <c r="J29" s="7">
        <v>95</v>
      </c>
      <c r="K29" s="7">
        <v>100</v>
      </c>
      <c r="L29" s="7">
        <v>100</v>
      </c>
      <c r="M29" s="7">
        <v>100</v>
      </c>
      <c r="N29" s="7">
        <v>100</v>
      </c>
      <c r="O29" s="13">
        <f t="shared" si="0"/>
        <v>93.75</v>
      </c>
    </row>
    <row r="30" spans="1:15" customFormat="1" ht="17.100000000000001" customHeight="1">
      <c r="A30" s="7" t="s">
        <v>48</v>
      </c>
      <c r="B30" s="7">
        <v>1810301104</v>
      </c>
      <c r="C30" s="7" t="s">
        <v>75</v>
      </c>
      <c r="D30" s="7" t="s">
        <v>50</v>
      </c>
      <c r="E30" s="7">
        <v>95</v>
      </c>
      <c r="F30" s="7">
        <v>90</v>
      </c>
      <c r="G30" s="7">
        <v>85</v>
      </c>
      <c r="H30" s="7">
        <v>80</v>
      </c>
      <c r="I30" s="7">
        <v>90</v>
      </c>
      <c r="J30" s="7">
        <v>100</v>
      </c>
      <c r="K30" s="7">
        <v>100</v>
      </c>
      <c r="L30" s="7">
        <v>100</v>
      </c>
      <c r="M30" s="7">
        <v>100</v>
      </c>
      <c r="N30" s="7">
        <v>100</v>
      </c>
      <c r="O30" s="13">
        <f t="shared" si="0"/>
        <v>94.722222222222229</v>
      </c>
    </row>
    <row r="31" spans="1:15" customFormat="1" ht="17.100000000000001" customHeight="1">
      <c r="A31" s="7" t="s">
        <v>48</v>
      </c>
      <c r="B31" s="7">
        <v>1810301130</v>
      </c>
      <c r="C31" s="7" t="s">
        <v>76</v>
      </c>
      <c r="D31" s="7" t="s">
        <v>52</v>
      </c>
      <c r="E31" s="7">
        <v>95</v>
      </c>
      <c r="F31" s="7">
        <v>85</v>
      </c>
      <c r="G31" s="7">
        <v>90</v>
      </c>
      <c r="H31" s="7">
        <v>90</v>
      </c>
      <c r="I31" s="7">
        <v>90</v>
      </c>
      <c r="J31" s="7">
        <v>95</v>
      </c>
      <c r="K31" s="7">
        <v>95</v>
      </c>
      <c r="L31" s="7">
        <v>100</v>
      </c>
      <c r="M31" s="7">
        <v>100</v>
      </c>
      <c r="N31" s="7">
        <v>100</v>
      </c>
      <c r="O31" s="13">
        <f t="shared" si="0"/>
        <v>94.444444444444443</v>
      </c>
    </row>
    <row r="32" spans="1:15" customFormat="1" ht="17.100000000000001" customHeight="1">
      <c r="A32" s="7" t="s">
        <v>48</v>
      </c>
      <c r="B32" s="7">
        <v>1810301204</v>
      </c>
      <c r="C32" s="7" t="s">
        <v>77</v>
      </c>
      <c r="D32" s="7" t="s">
        <v>50</v>
      </c>
      <c r="E32" s="7">
        <v>100</v>
      </c>
      <c r="F32" s="7">
        <v>95</v>
      </c>
      <c r="G32" s="7">
        <v>100</v>
      </c>
      <c r="H32" s="7">
        <v>95</v>
      </c>
      <c r="I32" s="7">
        <v>95</v>
      </c>
      <c r="J32" s="7">
        <v>100</v>
      </c>
      <c r="K32" s="7">
        <v>100</v>
      </c>
      <c r="L32" s="7">
        <v>100</v>
      </c>
      <c r="M32" s="7">
        <v>100</v>
      </c>
      <c r="N32" s="7">
        <v>100</v>
      </c>
      <c r="O32" s="13">
        <f t="shared" si="0"/>
        <v>98.6111111111111</v>
      </c>
    </row>
    <row r="33" spans="1:15" customFormat="1" ht="17.100000000000001" customHeight="1">
      <c r="A33" s="7" t="s">
        <v>48</v>
      </c>
      <c r="B33" s="7">
        <v>1810511103</v>
      </c>
      <c r="C33" s="7" t="s">
        <v>78</v>
      </c>
      <c r="D33" s="7" t="s">
        <v>50</v>
      </c>
      <c r="E33" s="7">
        <v>85</v>
      </c>
      <c r="F33" s="7">
        <v>85</v>
      </c>
      <c r="G33" s="7">
        <v>80</v>
      </c>
      <c r="H33" s="7">
        <v>85</v>
      </c>
      <c r="I33" s="7">
        <v>95</v>
      </c>
      <c r="J33" s="7">
        <v>100</v>
      </c>
      <c r="K33" s="7">
        <v>100</v>
      </c>
      <c r="L33" s="7">
        <v>100</v>
      </c>
      <c r="M33" s="7">
        <v>100</v>
      </c>
      <c r="N33" s="7">
        <v>100</v>
      </c>
      <c r="O33" s="13">
        <f t="shared" si="0"/>
        <v>94.027777777777771</v>
      </c>
    </row>
    <row r="34" spans="1:15" s="1" customFormat="1">
      <c r="B34" s="11"/>
    </row>
    <row r="35" spans="1:15" s="1" customFormat="1"/>
    <row r="36" spans="1:15" s="1" customFormat="1">
      <c r="E36" s="1" t="s">
        <v>8</v>
      </c>
    </row>
    <row r="37" spans="1:15" s="1" customFormat="1">
      <c r="E37" s="1" t="s">
        <v>8</v>
      </c>
    </row>
    <row r="38" spans="1:15" s="1" customFormat="1"/>
    <row r="39" spans="1:15" s="1" customFormat="1"/>
    <row r="40" spans="1:15" s="1" customFormat="1"/>
    <row r="41" spans="1:15" s="1" customFormat="1"/>
    <row r="42" spans="1:15" s="1" customFormat="1"/>
    <row r="43" spans="1:15" s="1" customFormat="1"/>
    <row r="44" spans="1:15" s="1" customFormat="1"/>
    <row r="45" spans="1:15" s="1" customFormat="1"/>
    <row r="46" spans="1:15" s="1" customFormat="1"/>
    <row r="47" spans="1:15" s="1" customFormat="1"/>
    <row r="48" spans="1:15" s="1" customFormat="1"/>
    <row r="49" s="1" customFormat="1"/>
    <row r="50" s="1" customFormat="1"/>
    <row r="51" s="1" customFormat="1"/>
    <row r="52" s="1" customFormat="1"/>
    <row r="53" s="1" customFormat="1"/>
    <row r="54" s="1" customFormat="1"/>
  </sheetData>
  <mergeCells count="12">
    <mergeCell ref="A1:B1"/>
    <mergeCell ref="C1:E1"/>
    <mergeCell ref="F1:I1"/>
    <mergeCell ref="J1:L1"/>
    <mergeCell ref="A4:A5"/>
    <mergeCell ref="B4:B5"/>
    <mergeCell ref="C4:C5"/>
    <mergeCell ref="D4:D5"/>
    <mergeCell ref="A2:B3"/>
    <mergeCell ref="C2:E3"/>
    <mergeCell ref="F2:I3"/>
    <mergeCell ref="J2:L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18软件1班</vt:lpstr>
      <vt:lpstr>18软件2班</vt:lpstr>
      <vt:lpstr>18软件3班</vt:lpstr>
      <vt:lpstr>18软件4班</vt:lpstr>
      <vt:lpstr>18软件5班</vt:lpstr>
      <vt:lpstr>18软件软件项目管理总表</vt:lpstr>
      <vt:lpstr>18软件1班课设</vt:lpstr>
      <vt:lpstr>18软件2班课设</vt:lpstr>
      <vt:lpstr>18软件3班课设</vt:lpstr>
      <vt:lpstr>18软件4班课设</vt:lpstr>
      <vt:lpstr>18软件5班课设</vt:lpstr>
      <vt:lpstr>18级软件1班课设</vt:lpstr>
      <vt:lpstr>18软2平时成绩表</vt:lpstr>
      <vt:lpstr>18软3平时成绩表</vt:lpstr>
      <vt:lpstr>18软4平时成绩表</vt:lpstr>
      <vt:lpstr>18软5平时成绩表</vt:lpstr>
      <vt:lpstr>18软1平时成绩表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admin</cp:lastModifiedBy>
  <dcterms:created xsi:type="dcterms:W3CDTF">2020-11-13T02:50:00Z</dcterms:created>
  <dcterms:modified xsi:type="dcterms:W3CDTF">2022-08-05T03:50:47Z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720AC65C863742F188BFB441CBC2FD17</vt:lpwstr>
  </property>
</Properties>
</file>